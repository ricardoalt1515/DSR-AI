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4595087B709DC9/Documents/Opportunity Log/"/>
    </mc:Choice>
  </mc:AlternateContent>
  <xr:revisionPtr revIDLastSave="1281" documentId="8_{8A6D9C72-FEF4-4745-ADD9-F01788ABAEC6}" xr6:coauthVersionLast="47" xr6:coauthVersionMax="47" xr10:uidLastSave="{C01BF0A2-2BE0-4339-B4D6-2D4249391B43}"/>
  <bookViews>
    <workbookView xWindow="-110" yWindow="-110" windowWidth="38620" windowHeight="21100" xr2:uid="{4427E78C-FDA4-49CF-93A0-A41529BC546B}"/>
  </bookViews>
  <sheets>
    <sheet name="ON GOING OPPORTUNITIES" sheetId="1" r:id="rId1"/>
    <sheet name="SITE CONTROL CLIENTS" sheetId="5" r:id="rId2"/>
    <sheet name="ONE-TIME OPPORTUNITIES" sheetId="2" r:id="rId3"/>
    <sheet name="SOLD OPPORTUNITIES" sheetId="3" r:id="rId4"/>
    <sheet name="FINANCIAL PIPELINE" sheetId="4" r:id="rId5"/>
    <sheet name="DATA" sheetId="6" r:id="rId6"/>
  </sheets>
  <definedNames>
    <definedName name="_xlnm._FilterDatabase" localSheetId="0" hidden="1">'ON GOING OPPORTUNITIES'!$A$1:$M$1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5" l="1"/>
  <c r="B5" i="4" s="1"/>
  <c r="B9" i="4"/>
  <c r="L66" i="1"/>
  <c r="B4" i="4" s="1"/>
  <c r="K10" i="2"/>
  <c r="B6" i="4" s="1"/>
  <c r="L8" i="3"/>
  <c r="B7" i="4" l="1"/>
</calcChain>
</file>

<file path=xl/sharedStrings.xml><?xml version="1.0" encoding="utf-8"?>
<sst xmlns="http://schemas.openxmlformats.org/spreadsheetml/2006/main" count="709" uniqueCount="305">
  <si>
    <t>Contact</t>
  </si>
  <si>
    <t>Opportunity</t>
  </si>
  <si>
    <t xml:space="preserve">Chemical </t>
  </si>
  <si>
    <t>Volume</t>
  </si>
  <si>
    <t>COA / Analytical</t>
  </si>
  <si>
    <t>SDS</t>
  </si>
  <si>
    <t>Frequency</t>
  </si>
  <si>
    <t>Notes</t>
  </si>
  <si>
    <t>Carla Williams</t>
  </si>
  <si>
    <t>Surfactant</t>
  </si>
  <si>
    <t>653K Lbs.</t>
  </si>
  <si>
    <t>YES</t>
  </si>
  <si>
    <t>COA from customer</t>
  </si>
  <si>
    <t>Morpholine /EDA</t>
  </si>
  <si>
    <t>540K lbs.</t>
  </si>
  <si>
    <t>Propylene Glycol</t>
  </si>
  <si>
    <t>can move rails, can transload on site</t>
  </si>
  <si>
    <t>Mixed Surfactant 4 Rail Cairs</t>
  </si>
  <si>
    <t>Propylene Glycol 12 Rail Cars</t>
  </si>
  <si>
    <t>Crude Morpholine 3 Rail Cars</t>
  </si>
  <si>
    <t>2MM lbs.</t>
  </si>
  <si>
    <t>no</t>
  </si>
  <si>
    <t>can move rails (exc 1) , can transload on site</t>
  </si>
  <si>
    <t>Kimberly Meier</t>
  </si>
  <si>
    <t>DiBasic Esthers</t>
  </si>
  <si>
    <t>40K lbs</t>
  </si>
  <si>
    <t>2-3 loads per week</t>
  </si>
  <si>
    <t>COA from Precision</t>
  </si>
  <si>
    <t>9600 BTU, dark color- going to Waste Fuels Blender</t>
  </si>
  <si>
    <t>Maelic Anhydride</t>
  </si>
  <si>
    <t>Waste Maelic Anhydride</t>
  </si>
  <si>
    <t>1-2 loads per month</t>
  </si>
  <si>
    <t>customer paying 28K per load to CLHB</t>
  </si>
  <si>
    <t>Waste DX01 Truckloads</t>
  </si>
  <si>
    <t>Waste NXT Totes</t>
  </si>
  <si>
    <t>Caprylic Acid</t>
  </si>
  <si>
    <t xml:space="preserve">40K lbs. </t>
  </si>
  <si>
    <t>NO</t>
  </si>
  <si>
    <t>Waste Profile</t>
  </si>
  <si>
    <t>High Water- Bringing Juan in</t>
  </si>
  <si>
    <t>No</t>
  </si>
  <si>
    <t>Kyle Gorsage</t>
  </si>
  <si>
    <t>Nitric Acid Totes Stream</t>
  </si>
  <si>
    <t>Nitric Acid</t>
  </si>
  <si>
    <t>limited info</t>
  </si>
  <si>
    <t>Hydrofluoric Acid Stream</t>
  </si>
  <si>
    <t>HF Acid</t>
  </si>
  <si>
    <t>Dixie Chemical- Pasadena, TX</t>
  </si>
  <si>
    <t>Afton- Pasadena, TX</t>
  </si>
  <si>
    <t>Intel- Chandler, AZ</t>
  </si>
  <si>
    <t>Intel- Portland, OR</t>
  </si>
  <si>
    <t>Phospohoric Acid Stream</t>
  </si>
  <si>
    <t>Phos Acid</t>
  </si>
  <si>
    <t>Product Drums</t>
  </si>
  <si>
    <t>Various</t>
  </si>
  <si>
    <t xml:space="preserve">40k lbs. </t>
  </si>
  <si>
    <t>Intel- Leixlip, Ireland</t>
  </si>
  <si>
    <t>Calcium Chloride Roll-off boxes</t>
  </si>
  <si>
    <t>Cacium Chloride</t>
  </si>
  <si>
    <t>15 tons</t>
  </si>
  <si>
    <t>several times a day</t>
  </si>
  <si>
    <t>COA from Customer</t>
  </si>
  <si>
    <t>TXI BID- Various locations</t>
  </si>
  <si>
    <t>Josh Altman</t>
  </si>
  <si>
    <t>Acids &amp; Solvents Streams</t>
  </si>
  <si>
    <t>4MMlbs.</t>
  </si>
  <si>
    <t>multiple loads per week</t>
  </si>
  <si>
    <t>bid quoted</t>
  </si>
  <si>
    <t>TetraMethylAmmoniaChloride</t>
  </si>
  <si>
    <t>TMAC</t>
  </si>
  <si>
    <t>500K GAL</t>
  </si>
  <si>
    <t>2 loads per week</t>
  </si>
  <si>
    <t>Ammonia Sulfate Solution</t>
  </si>
  <si>
    <t>AS</t>
  </si>
  <si>
    <t>90% Water</t>
  </si>
  <si>
    <t>5K gallons</t>
  </si>
  <si>
    <t>TSMC-Phoenix AZ</t>
  </si>
  <si>
    <t>TSMC- Phoenix AZ</t>
  </si>
  <si>
    <t>waste Profile</t>
  </si>
  <si>
    <t>PGMEA</t>
  </si>
  <si>
    <t>Proprylene Glycol Methyl ether Acetate</t>
  </si>
  <si>
    <t>in process</t>
  </si>
  <si>
    <t>Siltronic- Portland, OR</t>
  </si>
  <si>
    <t>Nitric Acid truckloads</t>
  </si>
  <si>
    <t>2-3 per month</t>
  </si>
  <si>
    <t>yes</t>
  </si>
  <si>
    <t>READY TO MOVE</t>
  </si>
  <si>
    <t>Mike Stenger</t>
  </si>
  <si>
    <t>Pine Tar</t>
  </si>
  <si>
    <t>Jason is getting stream ready to ship</t>
  </si>
  <si>
    <t>Aqua Fuels</t>
  </si>
  <si>
    <t>Ethyl Acetate Drums</t>
  </si>
  <si>
    <t>Ethyl Acetate</t>
  </si>
  <si>
    <t>100 drums</t>
  </si>
  <si>
    <t>1 per month</t>
  </si>
  <si>
    <t>Yes</t>
  </si>
  <si>
    <t>Moving to Filron Customer</t>
  </si>
  <si>
    <t>SOLD</t>
  </si>
  <si>
    <t>Allen Pitre</t>
  </si>
  <si>
    <t>116 Light Ends</t>
  </si>
  <si>
    <t>Alkenes</t>
  </si>
  <si>
    <t>Analytical/Waste Profile</t>
  </si>
  <si>
    <t>DATE</t>
  </si>
  <si>
    <t>2//07/25</t>
  </si>
  <si>
    <t>&gt;65%Sulfuric Acid &amp; water</t>
  </si>
  <si>
    <t>Sulfuric Acid</t>
  </si>
  <si>
    <t>Customer COA</t>
  </si>
  <si>
    <t>Typically 68% Sulfuric Acid and Water</t>
  </si>
  <si>
    <t>Chlorinated Polyisobutylene</t>
  </si>
  <si>
    <t>Disposition</t>
  </si>
  <si>
    <t>Client</t>
  </si>
  <si>
    <t>Buyers submitted to</t>
  </si>
  <si>
    <t>Need to submit to Buyer</t>
  </si>
  <si>
    <t>Meeting set up with Client</t>
  </si>
  <si>
    <t>ISS-Storage facility</t>
  </si>
  <si>
    <t>Sulfamic Acid in Super Sacks</t>
  </si>
  <si>
    <t>Sulfamic Acid</t>
  </si>
  <si>
    <t>Product out of date</t>
  </si>
  <si>
    <t>Intel Leixlip, Ireland</t>
  </si>
  <si>
    <t>Not Yet Submitted</t>
  </si>
  <si>
    <t>RaboChem, Filron, Encore</t>
  </si>
  <si>
    <t>Filron</t>
  </si>
  <si>
    <t>Encore</t>
  </si>
  <si>
    <t>Pine Tar Resins</t>
  </si>
  <si>
    <t>Pine Tar Resins-railcars</t>
  </si>
  <si>
    <t>180Klbs.</t>
  </si>
  <si>
    <t>Jason is getting set-up</t>
  </si>
  <si>
    <t>Expected Annual GM</t>
  </si>
  <si>
    <t>Pine Tar Solid Drums</t>
  </si>
  <si>
    <t>120 drums</t>
  </si>
  <si>
    <t>once per year</t>
  </si>
  <si>
    <t>Project Name</t>
  </si>
  <si>
    <t>ISS- Indorama - Port Neches, TX</t>
  </si>
  <si>
    <t>Bronco Environmental</t>
  </si>
  <si>
    <t>Chris Williams</t>
  </si>
  <si>
    <t>Truck load</t>
  </si>
  <si>
    <t>4 per month</t>
  </si>
  <si>
    <t>N/A</t>
  </si>
  <si>
    <t>see previous notes from Steve</t>
  </si>
  <si>
    <t>CP Chem</t>
  </si>
  <si>
    <t>Sara Skilern</t>
  </si>
  <si>
    <t>Isopentene</t>
  </si>
  <si>
    <t>2 per month</t>
  </si>
  <si>
    <t>ON GOING OPPORTUNITIES</t>
  </si>
  <si>
    <t>ONE TIME OPPORTUNITIES</t>
  </si>
  <si>
    <t>SOLD OPPORTUNITIES</t>
  </si>
  <si>
    <t>TOTAL</t>
  </si>
  <si>
    <t>TOTAL PIPELINE</t>
  </si>
  <si>
    <t>SPECIFIC MATERIAL</t>
  </si>
  <si>
    <t>GE VERNOVA CLEARWATER</t>
  </si>
  <si>
    <t>CHRIS THORNTON</t>
  </si>
  <si>
    <t>Stainless, craft paper, DE oil, plastic film, copper</t>
  </si>
  <si>
    <t>40,000 lbs.</t>
  </si>
  <si>
    <t>1 time per month</t>
  </si>
  <si>
    <t>Steve is evaluating</t>
  </si>
  <si>
    <t>?</t>
  </si>
  <si>
    <t>Waiting on complete evaluation</t>
  </si>
  <si>
    <t>CAPACITORS</t>
  </si>
  <si>
    <t>DK6/DK7 OIL</t>
  </si>
  <si>
    <t>Dielectric Oil</t>
  </si>
  <si>
    <t>4,000 gallons</t>
  </si>
  <si>
    <t>4 times per year</t>
  </si>
  <si>
    <t>Steve is Evalating</t>
  </si>
  <si>
    <t>Waiting on Final evalution</t>
  </si>
  <si>
    <t>Solid Resin</t>
  </si>
  <si>
    <t xml:space="preserve">Left over Resin </t>
  </si>
  <si>
    <t>55 gallon drums</t>
  </si>
  <si>
    <t>200 drums annually</t>
  </si>
  <si>
    <t>Profiling to Covanta</t>
  </si>
  <si>
    <t>Buyers / Vendor submitted to</t>
  </si>
  <si>
    <t>Covanta</t>
  </si>
  <si>
    <t>Profile in process</t>
  </si>
  <si>
    <t>EMPTY TOTES</t>
  </si>
  <si>
    <t>METALS MGMNT</t>
  </si>
  <si>
    <t xml:space="preserve">EMPTY TOTES </t>
  </si>
  <si>
    <t>FULL TRUCK LOAD</t>
  </si>
  <si>
    <t>4 time per year</t>
  </si>
  <si>
    <t>empty metal drums</t>
  </si>
  <si>
    <t>gathering costs</t>
  </si>
  <si>
    <t>recycled cardboard</t>
  </si>
  <si>
    <t>CARDBOARD Bailer</t>
  </si>
  <si>
    <t>Stainless, Copper, Steel</t>
  </si>
  <si>
    <t>TBD</t>
  </si>
  <si>
    <t xml:space="preserve">40000 lbs. </t>
  </si>
  <si>
    <t>Total</t>
  </si>
  <si>
    <t>Advisor Fee</t>
  </si>
  <si>
    <t>Monthly</t>
  </si>
  <si>
    <t>SITE CONTROL CLIENTS OPPS.</t>
  </si>
  <si>
    <t>FINANCIAL FITNESS</t>
  </si>
  <si>
    <t>DRUM CRUSHER STATION</t>
  </si>
  <si>
    <t>EXPECTED ANNUAL GM</t>
  </si>
  <si>
    <t>BUYERS</t>
  </si>
  <si>
    <t>RABOCHEM</t>
  </si>
  <si>
    <t>ENCORE</t>
  </si>
  <si>
    <t>FILRON</t>
  </si>
  <si>
    <t>IBYMA</t>
  </si>
  <si>
    <t>RABOCHEM, FILRON</t>
  </si>
  <si>
    <t>RABOCHEM, ENCORE</t>
  </si>
  <si>
    <t>ENCORE, FILRON</t>
  </si>
  <si>
    <t>RABOCHEM, FILRON, ENCORE</t>
  </si>
  <si>
    <t>DISPOSITION</t>
  </si>
  <si>
    <t>Waiting on Buyer for Pricing</t>
  </si>
  <si>
    <t>Waiting on Client info</t>
  </si>
  <si>
    <t>Confirming Deal with client</t>
  </si>
  <si>
    <t>Confirming Deal with Buyer</t>
  </si>
  <si>
    <t>Waiting on Client Feedback</t>
  </si>
  <si>
    <t>Waiting on Feedback from Buyer</t>
  </si>
  <si>
    <t>Pass on Opportunity</t>
  </si>
  <si>
    <t>Isopentene 95%</t>
  </si>
  <si>
    <t>one time</t>
  </si>
  <si>
    <t>yes customer supplied</t>
  </si>
  <si>
    <t>yes custoemr supplied</t>
  </si>
  <si>
    <t>40% Ammonia Sulfate Solutions</t>
  </si>
  <si>
    <t>IPA</t>
  </si>
  <si>
    <t>HF Solution 20-30%</t>
  </si>
  <si>
    <t>230 Tons</t>
  </si>
  <si>
    <t xml:space="preserve">per month </t>
  </si>
  <si>
    <t>need to quote.  Disposal $22K per load</t>
  </si>
  <si>
    <t xml:space="preserve">850 tons </t>
  </si>
  <si>
    <t>per month-rail</t>
  </si>
  <si>
    <t>25-30% IPA, ships to Eastman</t>
  </si>
  <si>
    <t>Chemcare Iowa</t>
  </si>
  <si>
    <t>HCL 30-38%</t>
  </si>
  <si>
    <t>3000 gallons</t>
  </si>
  <si>
    <t xml:space="preserve">no </t>
  </si>
  <si>
    <t>This is brand new product delivered March 6th</t>
  </si>
  <si>
    <t>unused 3000 gallons of HCL</t>
  </si>
  <si>
    <t>ER Carpenter</t>
  </si>
  <si>
    <t>Mixed Polyols</t>
  </si>
  <si>
    <t>per month</t>
  </si>
  <si>
    <t>Steve has information, CC charges $9559 per load</t>
  </si>
  <si>
    <t>SWG- Catexel Nease-Ohio</t>
  </si>
  <si>
    <t>SWG-Lubrizol-DeerPark TX</t>
  </si>
  <si>
    <t>plastic recycling</t>
  </si>
  <si>
    <t>Waiting on a call from CpChem</t>
  </si>
  <si>
    <t>SWG ENF Tech-Austin</t>
  </si>
  <si>
    <t>Heavy Aromatic Naptha</t>
  </si>
  <si>
    <t>Naptha</t>
  </si>
  <si>
    <t>Material Profile</t>
  </si>
  <si>
    <t>SWG-Placid refinery</t>
  </si>
  <si>
    <t>Calcium Fluoride</t>
  </si>
  <si>
    <t>Calcium Fluoride Rolloffs</t>
  </si>
  <si>
    <t>12 loads per month</t>
  </si>
  <si>
    <t>Material profile</t>
  </si>
  <si>
    <t>need a buyer</t>
  </si>
  <si>
    <t>weekly</t>
  </si>
  <si>
    <t>sample being tested by client</t>
  </si>
  <si>
    <t>monthly</t>
  </si>
  <si>
    <t>Momentive- Texas City, TX</t>
  </si>
  <si>
    <t>Waiting on PO</t>
  </si>
  <si>
    <t>Sourcing Buyer</t>
  </si>
  <si>
    <t>Waiting on Contract</t>
  </si>
  <si>
    <t>Univar Pachca Soap</t>
  </si>
  <si>
    <t>213 pallets of Handsanitizer</t>
  </si>
  <si>
    <t>Ethanol</t>
  </si>
  <si>
    <t>10 trucks</t>
  </si>
  <si>
    <t>will be sending to Benjamin in Mexico</t>
  </si>
  <si>
    <t>Waiting on Client PO/ Contract</t>
  </si>
  <si>
    <t>indorama</t>
  </si>
  <si>
    <t>surfactant</t>
  </si>
  <si>
    <t>Phosphoric Acid</t>
  </si>
  <si>
    <t>MeoH &amp; Water -50/50</t>
  </si>
  <si>
    <t>Acetone &amp; H2O 60/40</t>
  </si>
  <si>
    <t>Methanol</t>
  </si>
  <si>
    <t>Acetone</t>
  </si>
  <si>
    <t xml:space="preserve">2-3 trucks </t>
  </si>
  <si>
    <t>3-4 trucks</t>
  </si>
  <si>
    <t>1 railcar</t>
  </si>
  <si>
    <t>one time project</t>
  </si>
  <si>
    <t>priced todirect waiting on Contract from Justin</t>
  </si>
  <si>
    <t>sample ready to pick-up</t>
  </si>
  <si>
    <t>n/a</t>
  </si>
  <si>
    <t>Benjamin</t>
  </si>
  <si>
    <t>ORTEC</t>
  </si>
  <si>
    <t>Univar TXI- UTAH</t>
  </si>
  <si>
    <t>1-2 trucks</t>
  </si>
  <si>
    <t>just collected samples 7/17</t>
  </si>
  <si>
    <t>waiting on Rabochem and Filron</t>
  </si>
  <si>
    <t>waiting no Rabochem and Filron</t>
  </si>
  <si>
    <t>RABOCHEM / FILRON</t>
  </si>
  <si>
    <t>EXXON BRPP</t>
  </si>
  <si>
    <t>E5850</t>
  </si>
  <si>
    <t>EXXON BMTPP</t>
  </si>
  <si>
    <t>F417</t>
  </si>
  <si>
    <t>ENB or OCTENE</t>
  </si>
  <si>
    <t>4 trucks</t>
  </si>
  <si>
    <t>PE wax</t>
  </si>
  <si>
    <t>samples being evaluated</t>
  </si>
  <si>
    <t>6 trucks</t>
  </si>
  <si>
    <t>Capacitors</t>
  </si>
  <si>
    <t>Equip Sales</t>
  </si>
  <si>
    <t>Wood Product</t>
  </si>
  <si>
    <t>Metals</t>
  </si>
  <si>
    <t>GE Charleroi</t>
  </si>
  <si>
    <t>metal/DE oil</t>
  </si>
  <si>
    <t>40K</t>
  </si>
  <si>
    <t>8-10 trucks annually</t>
  </si>
  <si>
    <t>first load week of 7/21st</t>
  </si>
  <si>
    <t>2- Grinders, cardboard bailer</t>
  </si>
  <si>
    <t xml:space="preserve">2 trucks </t>
  </si>
  <si>
    <t>copper/SST</t>
  </si>
  <si>
    <t>GE LaPrairie</t>
  </si>
  <si>
    <t>Cylinders</t>
  </si>
  <si>
    <t>various</t>
  </si>
  <si>
    <t>varuious gas cylinders to be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</si>
</sst>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3" borderId="0" xfId="0" applyFill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6" fontId="0" fillId="0" borderId="1" xfId="0" applyNumberFormat="1" applyBorder="1"/>
    <xf numFmtId="6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6" fontId="0" fillId="0" borderId="0" xfId="0" applyNumberFormat="1"/>
    <xf numFmtId="6" fontId="0" fillId="0" borderId="3" xfId="0" applyNumberFormat="1" applyBorder="1"/>
    <xf numFmtId="0" fontId="0" fillId="0" borderId="4" xfId="0" applyBorder="1"/>
    <xf numFmtId="0" fontId="1" fillId="0" borderId="2" xfId="0" applyFont="1" applyBorder="1"/>
    <xf numFmtId="6" fontId="0" fillId="0" borderId="4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164" fontId="0" fillId="3" borderId="1" xfId="0" applyNumberFormat="1" applyFill="1" applyBorder="1"/>
    <xf numFmtId="164" fontId="0" fillId="0" borderId="4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3" borderId="0" xfId="0" applyFont="1" applyFill="1"/>
    <xf numFmtId="164" fontId="1" fillId="3" borderId="0" xfId="0" applyNumberFormat="1" applyFont="1" applyFill="1"/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14" fontId="0" fillId="4" borderId="5" xfId="0" applyNumberFormat="1" applyFill="1" applyBorder="1" applyAlignment="1">
      <alignment horizontal="left"/>
    </xf>
    <xf numFmtId="0" fontId="0" fillId="4" borderId="0" xfId="0" applyFill="1"/>
    <xf numFmtId="0" fontId="1" fillId="4" borderId="0" xfId="0" applyFont="1" applyFill="1"/>
    <xf numFmtId="164" fontId="0" fillId="4" borderId="0" xfId="0" applyNumberFormat="1" applyFill="1"/>
    <xf numFmtId="0" fontId="1" fillId="4" borderId="6" xfId="0" applyFont="1" applyFill="1" applyBorder="1" applyAlignment="1">
      <alignment horizontal="center"/>
    </xf>
    <xf numFmtId="6" fontId="0" fillId="4" borderId="0" xfId="0" applyNumberFormat="1" applyFill="1"/>
    <xf numFmtId="0" fontId="0" fillId="4" borderId="6" xfId="0" applyFill="1" applyBorder="1"/>
    <xf numFmtId="3" fontId="0" fillId="4" borderId="0" xfId="0" applyNumberFormat="1" applyFill="1"/>
    <xf numFmtId="3" fontId="0" fillId="0" borderId="0" xfId="0" applyNumberFormat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9" fontId="0" fillId="0" borderId="1" xfId="0" applyNumberFormat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/>
    <xf numFmtId="0" fontId="0" fillId="12" borderId="1" xfId="0" applyFill="1" applyBorder="1" applyAlignment="1">
      <alignment horizontal="center"/>
    </xf>
    <xf numFmtId="0" fontId="1" fillId="10" borderId="1" xfId="0" applyFont="1" applyFill="1" applyBorder="1"/>
    <xf numFmtId="0" fontId="0" fillId="12" borderId="3" xfId="0" applyFill="1" applyBorder="1"/>
    <xf numFmtId="164" fontId="0" fillId="12" borderId="3" xfId="0" applyNumberFormat="1" applyFill="1" applyBorder="1"/>
    <xf numFmtId="0" fontId="0" fillId="2" borderId="1" xfId="0" applyFill="1" applyBorder="1"/>
    <xf numFmtId="14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/>
    <xf numFmtId="0" fontId="0" fillId="10" borderId="1" xfId="0" applyFont="1" applyFill="1" applyBorder="1"/>
    <xf numFmtId="0" fontId="0" fillId="13" borderId="1" xfId="0" applyFont="1" applyFill="1" applyBorder="1"/>
    <xf numFmtId="0" fontId="0" fillId="12" borderId="1" xfId="0" applyFont="1" applyFill="1" applyBorder="1"/>
    <xf numFmtId="0" fontId="0" fillId="2" borderId="1" xfId="0" applyFont="1" applyFill="1" applyBorder="1"/>
    <xf numFmtId="164" fontId="0" fillId="3" borderId="1" xfId="0" applyNumberFormat="1" applyFont="1" applyFill="1" applyBorder="1"/>
    <xf numFmtId="0" fontId="0" fillId="3" borderId="1" xfId="0" applyFont="1" applyFill="1" applyBorder="1" applyAlignment="1">
      <alignment horizontal="center"/>
    </xf>
    <xf numFmtId="16" fontId="0" fillId="3" borderId="1" xfId="0" applyNumberFormat="1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72AD-B776-42C4-AEB1-89E9289E2F14}">
  <sheetPr>
    <tabColor rgb="FFFFFF00"/>
  </sheetPr>
  <dimension ref="A1:M66"/>
  <sheetViews>
    <sheetView tabSelected="1" zoomScale="120" zoomScaleNormal="120" workbookViewId="0">
      <selection activeCell="E14" sqref="E14"/>
    </sheetView>
  </sheetViews>
  <sheetFormatPr defaultRowHeight="14.5" x14ac:dyDescent="0.35"/>
  <cols>
    <col min="1" max="1" width="12.6328125" style="2" customWidth="1"/>
    <col min="2" max="2" width="25.1796875" customWidth="1"/>
    <col min="3" max="3" width="13.08984375" hidden="1" customWidth="1"/>
    <col min="4" max="4" width="28.6328125" style="4" customWidth="1"/>
    <col min="5" max="5" width="15.1796875" customWidth="1"/>
    <col min="6" max="6" width="10.90625" bestFit="1" customWidth="1"/>
    <col min="7" max="7" width="19.81640625" bestFit="1" customWidth="1"/>
    <col min="8" max="8" width="6.81640625" customWidth="1"/>
    <col min="9" max="9" width="20.26953125" customWidth="1"/>
    <col min="10" max="10" width="42.1796875" customWidth="1"/>
    <col min="11" max="11" width="25.90625" customWidth="1"/>
    <col min="12" max="12" width="18.6328125" style="22" customWidth="1"/>
    <col min="13" max="13" width="26.7265625" style="2" customWidth="1"/>
  </cols>
  <sheetData>
    <row r="1" spans="1:13" x14ac:dyDescent="0.35">
      <c r="A1" s="9" t="s">
        <v>102</v>
      </c>
      <c r="B1" s="10" t="s">
        <v>110</v>
      </c>
      <c r="C1" s="10" t="s">
        <v>0</v>
      </c>
      <c r="D1" s="16" t="s">
        <v>1</v>
      </c>
      <c r="E1" s="10" t="s">
        <v>2</v>
      </c>
      <c r="F1" s="10" t="s">
        <v>3</v>
      </c>
      <c r="G1" s="10" t="s">
        <v>6</v>
      </c>
      <c r="H1" s="10" t="s">
        <v>5</v>
      </c>
      <c r="I1" s="10" t="s">
        <v>4</v>
      </c>
      <c r="J1" s="10" t="s">
        <v>7</v>
      </c>
      <c r="K1" s="10" t="s">
        <v>111</v>
      </c>
      <c r="L1" s="25" t="s">
        <v>127</v>
      </c>
      <c r="M1" s="9" t="s">
        <v>109</v>
      </c>
    </row>
    <row r="2" spans="1:13" s="4" customFormat="1" x14ac:dyDescent="0.3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72"/>
      <c r="M2" s="73"/>
    </row>
    <row r="3" spans="1:13" s="4" customFormat="1" x14ac:dyDescent="0.3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72"/>
      <c r="M3" s="73"/>
    </row>
    <row r="4" spans="1:13" s="4" customFormat="1" x14ac:dyDescent="0.3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72"/>
      <c r="M4" s="73"/>
    </row>
    <row r="5" spans="1:13" s="4" customFormat="1" x14ac:dyDescent="0.35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72"/>
      <c r="M5" s="73"/>
    </row>
    <row r="6" spans="1:13" s="4" customForma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72"/>
      <c r="M6" s="73"/>
    </row>
    <row r="7" spans="1:13" s="4" customFormat="1" x14ac:dyDescent="0.35">
      <c r="A7" s="66">
        <v>45853</v>
      </c>
      <c r="B7" s="68" t="s">
        <v>301</v>
      </c>
      <c r="C7" s="67"/>
      <c r="D7" s="67" t="s">
        <v>302</v>
      </c>
      <c r="E7" s="67" t="s">
        <v>303</v>
      </c>
      <c r="F7" s="67"/>
      <c r="G7" s="67" t="s">
        <v>268</v>
      </c>
      <c r="H7" s="67"/>
      <c r="I7" s="67"/>
      <c r="J7" s="67" t="s">
        <v>304</v>
      </c>
      <c r="K7" s="67"/>
      <c r="L7" s="72">
        <v>300000</v>
      </c>
      <c r="M7" s="73"/>
    </row>
    <row r="8" spans="1:13" s="4" customFormat="1" x14ac:dyDescent="0.35">
      <c r="A8" s="66">
        <v>45488</v>
      </c>
      <c r="B8" s="68" t="s">
        <v>273</v>
      </c>
      <c r="C8" s="67"/>
      <c r="D8" s="67" t="s">
        <v>261</v>
      </c>
      <c r="E8" s="67" t="s">
        <v>263</v>
      </c>
      <c r="F8" s="74" t="s">
        <v>265</v>
      </c>
      <c r="G8" s="67" t="s">
        <v>247</v>
      </c>
      <c r="H8" s="67"/>
      <c r="I8" s="67"/>
      <c r="J8" s="67" t="s">
        <v>276</v>
      </c>
      <c r="K8" s="67" t="s">
        <v>279</v>
      </c>
      <c r="L8" s="72">
        <v>60000</v>
      </c>
      <c r="M8" s="73"/>
    </row>
    <row r="9" spans="1:13" s="4" customFormat="1" x14ac:dyDescent="0.35">
      <c r="A9" s="66">
        <v>45488</v>
      </c>
      <c r="B9" s="68" t="s">
        <v>273</v>
      </c>
      <c r="C9" s="67"/>
      <c r="D9" s="67" t="s">
        <v>262</v>
      </c>
      <c r="E9" s="67" t="s">
        <v>264</v>
      </c>
      <c r="F9" s="67" t="s">
        <v>266</v>
      </c>
      <c r="G9" s="67" t="s">
        <v>247</v>
      </c>
      <c r="H9" s="67"/>
      <c r="I9" s="67"/>
      <c r="J9" s="67" t="s">
        <v>276</v>
      </c>
      <c r="K9" s="67" t="s">
        <v>279</v>
      </c>
      <c r="L9" s="72">
        <v>100000</v>
      </c>
      <c r="M9" s="73"/>
    </row>
    <row r="10" spans="1:13" s="4" customFormat="1" x14ac:dyDescent="0.35">
      <c r="A10" s="66">
        <v>45851</v>
      </c>
      <c r="B10" s="68" t="s">
        <v>274</v>
      </c>
      <c r="C10" s="67"/>
      <c r="D10" s="67" t="s">
        <v>260</v>
      </c>
      <c r="E10" s="67" t="s">
        <v>260</v>
      </c>
      <c r="F10" s="67" t="s">
        <v>275</v>
      </c>
      <c r="G10" s="67" t="s">
        <v>247</v>
      </c>
      <c r="H10" s="67"/>
      <c r="I10" s="67"/>
      <c r="J10" s="67" t="s">
        <v>277</v>
      </c>
      <c r="K10" s="1" t="s">
        <v>192</v>
      </c>
      <c r="L10" s="72">
        <v>60000</v>
      </c>
      <c r="M10" s="73"/>
    </row>
    <row r="11" spans="1:13" s="4" customFormat="1" x14ac:dyDescent="0.35">
      <c r="A11" s="66">
        <v>45851</v>
      </c>
      <c r="B11" s="68" t="s">
        <v>274</v>
      </c>
      <c r="C11" s="67"/>
      <c r="D11" s="67" t="s">
        <v>105</v>
      </c>
      <c r="E11" s="67" t="s">
        <v>105</v>
      </c>
      <c r="F11" s="67" t="s">
        <v>266</v>
      </c>
      <c r="G11" s="67" t="s">
        <v>247</v>
      </c>
      <c r="H11" s="67"/>
      <c r="I11" s="67"/>
      <c r="J11" s="67" t="s">
        <v>278</v>
      </c>
      <c r="K11" s="1" t="s">
        <v>192</v>
      </c>
      <c r="L11" s="72">
        <v>100000</v>
      </c>
      <c r="M11" s="73"/>
    </row>
    <row r="12" spans="1:13" s="4" customFormat="1" x14ac:dyDescent="0.35">
      <c r="A12" s="66">
        <v>45846</v>
      </c>
      <c r="B12" s="67" t="s">
        <v>258</v>
      </c>
      <c r="C12" s="67"/>
      <c r="D12" s="67" t="s">
        <v>259</v>
      </c>
      <c r="E12" s="67" t="s">
        <v>9</v>
      </c>
      <c r="F12" s="67" t="s">
        <v>267</v>
      </c>
      <c r="G12" s="67" t="s">
        <v>268</v>
      </c>
      <c r="H12" s="67" t="s">
        <v>95</v>
      </c>
      <c r="I12" s="67" t="s">
        <v>21</v>
      </c>
      <c r="J12" s="67" t="s">
        <v>270</v>
      </c>
      <c r="K12" s="67"/>
      <c r="L12" s="72">
        <v>10000</v>
      </c>
      <c r="M12" s="73"/>
    </row>
    <row r="13" spans="1:13" s="4" customFormat="1" x14ac:dyDescent="0.35">
      <c r="A13" s="66">
        <v>45838</v>
      </c>
      <c r="B13" s="68" t="s">
        <v>280</v>
      </c>
      <c r="C13" s="67"/>
      <c r="D13" s="67" t="s">
        <v>281</v>
      </c>
      <c r="E13" s="67" t="s">
        <v>284</v>
      </c>
      <c r="F13" s="67" t="s">
        <v>288</v>
      </c>
      <c r="G13" s="67" t="s">
        <v>247</v>
      </c>
      <c r="H13" s="67"/>
      <c r="I13" s="67"/>
      <c r="J13" s="67" t="s">
        <v>287</v>
      </c>
      <c r="K13" s="67"/>
      <c r="L13" s="72">
        <v>150000</v>
      </c>
      <c r="M13" s="73"/>
    </row>
    <row r="14" spans="1:13" s="4" customFormat="1" x14ac:dyDescent="0.35">
      <c r="A14" s="66">
        <v>45823</v>
      </c>
      <c r="B14" s="68" t="s">
        <v>282</v>
      </c>
      <c r="C14" s="67"/>
      <c r="D14" s="67" t="s">
        <v>283</v>
      </c>
      <c r="E14" s="67" t="s">
        <v>286</v>
      </c>
      <c r="F14" s="67" t="s">
        <v>285</v>
      </c>
      <c r="G14" s="67" t="s">
        <v>247</v>
      </c>
      <c r="H14" s="67"/>
      <c r="I14" s="67"/>
      <c r="J14" s="67" t="s">
        <v>287</v>
      </c>
      <c r="K14" s="67"/>
      <c r="L14" s="72">
        <v>100000</v>
      </c>
      <c r="M14" s="73"/>
    </row>
    <row r="15" spans="1:13" s="4" customFormat="1" x14ac:dyDescent="0.35">
      <c r="A15" s="66">
        <v>45778</v>
      </c>
      <c r="B15" s="68" t="s">
        <v>252</v>
      </c>
      <c r="C15" s="67"/>
      <c r="D15" s="67" t="s">
        <v>253</v>
      </c>
      <c r="E15" s="67" t="s">
        <v>254</v>
      </c>
      <c r="F15" s="67" t="s">
        <v>255</v>
      </c>
      <c r="G15" s="67" t="s">
        <v>268</v>
      </c>
      <c r="H15" s="67" t="s">
        <v>11</v>
      </c>
      <c r="I15" s="67" t="s">
        <v>271</v>
      </c>
      <c r="J15" s="67" t="s">
        <v>256</v>
      </c>
      <c r="K15" s="67" t="s">
        <v>272</v>
      </c>
      <c r="L15" s="72">
        <v>150000</v>
      </c>
      <c r="M15" s="5" t="s">
        <v>257</v>
      </c>
    </row>
    <row r="16" spans="1:13" s="4" customFormat="1" hidden="1" x14ac:dyDescent="0.35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72"/>
      <c r="M16" s="5" t="s">
        <v>202</v>
      </c>
    </row>
    <row r="17" spans="1:13" s="4" customFormat="1" hidden="1" x14ac:dyDescent="0.35">
      <c r="A17" s="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72"/>
      <c r="M17" s="5" t="s">
        <v>202</v>
      </c>
    </row>
    <row r="18" spans="1:13" s="4" customFormat="1" hidden="1" x14ac:dyDescent="0.35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72"/>
      <c r="M18" s="5" t="s">
        <v>202</v>
      </c>
    </row>
    <row r="19" spans="1:13" s="4" customFormat="1" hidden="1" x14ac:dyDescent="0.35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72"/>
      <c r="M19" s="5" t="s">
        <v>202</v>
      </c>
    </row>
    <row r="20" spans="1:13" s="4" customFormat="1" hidden="1" x14ac:dyDescent="0.35">
      <c r="A20" s="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72"/>
      <c r="M20" s="5" t="s">
        <v>202</v>
      </c>
    </row>
    <row r="21" spans="1:13" s="4" customFormat="1" hidden="1" x14ac:dyDescent="0.35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72"/>
      <c r="M21" s="5" t="s">
        <v>202</v>
      </c>
    </row>
    <row r="22" spans="1:13" s="4" customFormat="1" hidden="1" x14ac:dyDescent="0.35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2"/>
      <c r="M22" s="5" t="s">
        <v>202</v>
      </c>
    </row>
    <row r="23" spans="1:13" s="4" customFormat="1" hidden="1" x14ac:dyDescent="0.35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72"/>
      <c r="M23" s="5" t="s">
        <v>202</v>
      </c>
    </row>
    <row r="24" spans="1:13" s="4" customFormat="1" hidden="1" x14ac:dyDescent="0.35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72"/>
      <c r="M24" s="5" t="s">
        <v>202</v>
      </c>
    </row>
    <row r="25" spans="1:13" s="4" customFormat="1" hidden="1" x14ac:dyDescent="0.35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72"/>
      <c r="M25" s="5" t="s">
        <v>202</v>
      </c>
    </row>
    <row r="26" spans="1:13" s="4" customFormat="1" x14ac:dyDescent="0.35">
      <c r="A26" s="6">
        <v>45768</v>
      </c>
      <c r="B26" s="75" t="s">
        <v>293</v>
      </c>
      <c r="C26" s="11"/>
      <c r="D26" s="11" t="s">
        <v>289</v>
      </c>
      <c r="E26" s="11" t="s">
        <v>294</v>
      </c>
      <c r="F26" s="11" t="s">
        <v>295</v>
      </c>
      <c r="G26" s="11" t="s">
        <v>296</v>
      </c>
      <c r="H26" s="11"/>
      <c r="I26" s="11"/>
      <c r="J26" s="11" t="s">
        <v>297</v>
      </c>
      <c r="K26" s="11"/>
      <c r="L26" s="72">
        <v>100000</v>
      </c>
      <c r="M26" s="5"/>
    </row>
    <row r="27" spans="1:13" s="4" customFormat="1" x14ac:dyDescent="0.35">
      <c r="A27" s="6">
        <v>45768</v>
      </c>
      <c r="B27" s="75" t="s">
        <v>293</v>
      </c>
      <c r="C27" s="11"/>
      <c r="D27" s="11" t="s">
        <v>290</v>
      </c>
      <c r="E27" s="11" t="s">
        <v>271</v>
      </c>
      <c r="F27" s="11" t="s">
        <v>271</v>
      </c>
      <c r="G27" s="11" t="s">
        <v>209</v>
      </c>
      <c r="H27" s="11"/>
      <c r="I27" s="11"/>
      <c r="J27" s="11" t="s">
        <v>298</v>
      </c>
      <c r="K27" s="11"/>
      <c r="L27" s="72">
        <v>100000</v>
      </c>
      <c r="M27" s="5"/>
    </row>
    <row r="28" spans="1:13" s="4" customFormat="1" x14ac:dyDescent="0.35">
      <c r="A28" s="66">
        <v>45768</v>
      </c>
      <c r="B28" s="75" t="s">
        <v>293</v>
      </c>
      <c r="C28" s="67"/>
      <c r="D28" s="67" t="s">
        <v>291</v>
      </c>
      <c r="E28" s="67" t="s">
        <v>271</v>
      </c>
      <c r="F28" s="67" t="s">
        <v>299</v>
      </c>
      <c r="G28" s="67" t="s">
        <v>247</v>
      </c>
      <c r="H28" s="67"/>
      <c r="I28" s="67"/>
      <c r="J28" s="67"/>
      <c r="K28" s="67"/>
      <c r="L28" s="72">
        <v>50000</v>
      </c>
      <c r="M28" s="73"/>
    </row>
    <row r="29" spans="1:13" s="4" customFormat="1" x14ac:dyDescent="0.35">
      <c r="A29" s="66">
        <v>45768</v>
      </c>
      <c r="B29" s="75" t="s">
        <v>293</v>
      </c>
      <c r="C29" s="67"/>
      <c r="D29" s="67" t="s">
        <v>292</v>
      </c>
      <c r="E29" s="67" t="s">
        <v>300</v>
      </c>
      <c r="F29" s="67" t="s">
        <v>245</v>
      </c>
      <c r="G29" s="67" t="s">
        <v>245</v>
      </c>
      <c r="H29" s="67"/>
      <c r="I29" s="67"/>
      <c r="J29" s="67"/>
      <c r="K29" s="67"/>
      <c r="L29" s="72">
        <v>100000</v>
      </c>
      <c r="M29" s="73"/>
    </row>
    <row r="30" spans="1:13" s="4" customFormat="1" x14ac:dyDescent="0.35">
      <c r="A30" s="6">
        <v>45764</v>
      </c>
      <c r="B30" s="11" t="s">
        <v>239</v>
      </c>
      <c r="C30" s="16"/>
      <c r="D30" s="11" t="s">
        <v>241</v>
      </c>
      <c r="E30" s="11" t="s">
        <v>240</v>
      </c>
      <c r="F30" s="11" t="s">
        <v>59</v>
      </c>
      <c r="G30" s="11" t="s">
        <v>242</v>
      </c>
      <c r="H30" s="11" t="s">
        <v>37</v>
      </c>
      <c r="I30" s="11" t="s">
        <v>243</v>
      </c>
      <c r="J30" s="11" t="s">
        <v>244</v>
      </c>
      <c r="K30" s="11"/>
      <c r="L30" s="72"/>
      <c r="M30" s="5" t="s">
        <v>202</v>
      </c>
    </row>
    <row r="31" spans="1:13" s="4" customFormat="1" x14ac:dyDescent="0.35">
      <c r="A31" s="6">
        <v>45764</v>
      </c>
      <c r="B31" s="68" t="s">
        <v>235</v>
      </c>
      <c r="C31" s="11"/>
      <c r="D31" s="11" t="s">
        <v>236</v>
      </c>
      <c r="E31" s="11" t="s">
        <v>237</v>
      </c>
      <c r="F31" s="11" t="s">
        <v>36</v>
      </c>
      <c r="G31" s="11" t="s">
        <v>229</v>
      </c>
      <c r="H31" s="11" t="s">
        <v>37</v>
      </c>
      <c r="I31" s="11" t="s">
        <v>238</v>
      </c>
      <c r="J31" s="11" t="s">
        <v>246</v>
      </c>
      <c r="K31" s="11" t="s">
        <v>194</v>
      </c>
      <c r="L31" s="72">
        <v>25000</v>
      </c>
      <c r="M31" s="5" t="s">
        <v>203</v>
      </c>
    </row>
    <row r="32" spans="1:13" s="4" customFormat="1" x14ac:dyDescent="0.35">
      <c r="A32" s="6">
        <v>45748</v>
      </c>
      <c r="B32" s="69" t="s">
        <v>227</v>
      </c>
      <c r="C32" s="11"/>
      <c r="D32" s="11" t="s">
        <v>228</v>
      </c>
      <c r="E32" s="11" t="s">
        <v>228</v>
      </c>
      <c r="F32" s="11" t="s">
        <v>36</v>
      </c>
      <c r="G32" s="11" t="s">
        <v>229</v>
      </c>
      <c r="H32" s="11" t="s">
        <v>11</v>
      </c>
      <c r="I32" s="11" t="s">
        <v>95</v>
      </c>
      <c r="J32" s="11" t="s">
        <v>230</v>
      </c>
      <c r="K32" s="11"/>
      <c r="L32" s="26">
        <v>120000</v>
      </c>
      <c r="M32" s="5" t="s">
        <v>205</v>
      </c>
    </row>
    <row r="33" spans="1:13" s="4" customFormat="1" x14ac:dyDescent="0.35">
      <c r="A33" s="58">
        <v>45748</v>
      </c>
      <c r="B33" s="70" t="s">
        <v>221</v>
      </c>
      <c r="C33" s="59"/>
      <c r="D33" s="59" t="s">
        <v>226</v>
      </c>
      <c r="E33" s="59" t="s">
        <v>222</v>
      </c>
      <c r="F33" s="59" t="s">
        <v>223</v>
      </c>
      <c r="G33" s="59" t="s">
        <v>209</v>
      </c>
      <c r="H33" s="59" t="s">
        <v>11</v>
      </c>
      <c r="I33" s="59" t="s">
        <v>224</v>
      </c>
      <c r="J33" s="59" t="s">
        <v>225</v>
      </c>
      <c r="K33" s="59"/>
      <c r="L33" s="60"/>
      <c r="M33" s="61" t="s">
        <v>207</v>
      </c>
    </row>
    <row r="34" spans="1:13" s="4" customFormat="1" x14ac:dyDescent="0.35">
      <c r="A34" s="58">
        <v>45736</v>
      </c>
      <c r="B34" s="70" t="s">
        <v>114</v>
      </c>
      <c r="C34" s="59" t="s">
        <v>63</v>
      </c>
      <c r="D34" s="59" t="s">
        <v>115</v>
      </c>
      <c r="E34" s="59" t="s">
        <v>116</v>
      </c>
      <c r="F34" s="59" t="s">
        <v>36</v>
      </c>
      <c r="G34" s="59" t="s">
        <v>209</v>
      </c>
      <c r="H34" s="59" t="s">
        <v>95</v>
      </c>
      <c r="I34" s="59" t="s">
        <v>21</v>
      </c>
      <c r="J34" s="59" t="s">
        <v>117</v>
      </c>
      <c r="K34" s="59"/>
      <c r="L34" s="60"/>
      <c r="M34" s="61" t="s">
        <v>207</v>
      </c>
    </row>
    <row r="35" spans="1:13" s="4" customFormat="1" x14ac:dyDescent="0.35">
      <c r="A35" s="58">
        <v>45671</v>
      </c>
      <c r="B35" s="70" t="s">
        <v>132</v>
      </c>
      <c r="C35" s="59" t="s">
        <v>8</v>
      </c>
      <c r="D35" s="59" t="s">
        <v>17</v>
      </c>
      <c r="E35" s="59" t="s">
        <v>9</v>
      </c>
      <c r="F35" s="59" t="s">
        <v>10</v>
      </c>
      <c r="G35" s="59" t="s">
        <v>209</v>
      </c>
      <c r="H35" s="59" t="s">
        <v>95</v>
      </c>
      <c r="I35" s="59"/>
      <c r="J35" s="59" t="s">
        <v>22</v>
      </c>
      <c r="K35" s="59"/>
      <c r="L35" s="60"/>
      <c r="M35" s="61" t="s">
        <v>207</v>
      </c>
    </row>
    <row r="36" spans="1:13" s="4" customFormat="1" x14ac:dyDescent="0.35">
      <c r="A36" s="7">
        <v>45671</v>
      </c>
      <c r="B36" s="68" t="s">
        <v>132</v>
      </c>
      <c r="C36" s="1" t="s">
        <v>8</v>
      </c>
      <c r="D36" s="11" t="s">
        <v>19</v>
      </c>
      <c r="E36" s="1" t="s">
        <v>13</v>
      </c>
      <c r="F36" s="1" t="s">
        <v>14</v>
      </c>
      <c r="G36" s="1" t="s">
        <v>209</v>
      </c>
      <c r="H36" s="1" t="s">
        <v>95</v>
      </c>
      <c r="I36" s="1" t="s">
        <v>210</v>
      </c>
      <c r="J36" s="1" t="s">
        <v>16</v>
      </c>
      <c r="K36" s="11" t="s">
        <v>192</v>
      </c>
      <c r="L36" s="26">
        <v>25000</v>
      </c>
      <c r="M36" s="5" t="s">
        <v>201</v>
      </c>
    </row>
    <row r="37" spans="1:13" s="4" customFormat="1" x14ac:dyDescent="0.35">
      <c r="A37" s="58">
        <v>45681</v>
      </c>
      <c r="B37" s="70" t="s">
        <v>132</v>
      </c>
      <c r="C37" s="59" t="s">
        <v>8</v>
      </c>
      <c r="D37" s="59" t="s">
        <v>18</v>
      </c>
      <c r="E37" s="59" t="s">
        <v>15</v>
      </c>
      <c r="F37" s="59" t="s">
        <v>20</v>
      </c>
      <c r="G37" s="59" t="s">
        <v>37</v>
      </c>
      <c r="H37" s="59" t="s">
        <v>95</v>
      </c>
      <c r="I37" s="59" t="s">
        <v>211</v>
      </c>
      <c r="J37" s="59" t="s">
        <v>16</v>
      </c>
      <c r="K37" s="59" t="s">
        <v>192</v>
      </c>
      <c r="L37" s="60">
        <v>25000</v>
      </c>
      <c r="M37" s="61" t="s">
        <v>207</v>
      </c>
    </row>
    <row r="38" spans="1:13" s="4" customFormat="1" x14ac:dyDescent="0.35">
      <c r="A38" s="6">
        <v>45737</v>
      </c>
      <c r="B38" s="67" t="s">
        <v>139</v>
      </c>
      <c r="C38" s="11" t="s">
        <v>140</v>
      </c>
      <c r="D38" s="11" t="s">
        <v>208</v>
      </c>
      <c r="E38" s="11" t="s">
        <v>141</v>
      </c>
      <c r="F38" s="11" t="s">
        <v>36</v>
      </c>
      <c r="G38" s="11" t="s">
        <v>142</v>
      </c>
      <c r="H38" s="11" t="s">
        <v>21</v>
      </c>
      <c r="I38" s="11" t="s">
        <v>21</v>
      </c>
      <c r="J38" s="11" t="s">
        <v>234</v>
      </c>
      <c r="K38" s="11"/>
      <c r="L38" s="26">
        <v>100000</v>
      </c>
      <c r="M38" s="5" t="s">
        <v>202</v>
      </c>
    </row>
    <row r="39" spans="1:13" s="4" customFormat="1" x14ac:dyDescent="0.35">
      <c r="A39" s="6">
        <v>45740</v>
      </c>
      <c r="B39" s="68" t="s">
        <v>133</v>
      </c>
      <c r="C39" s="11" t="s">
        <v>134</v>
      </c>
      <c r="D39" s="11" t="s">
        <v>233</v>
      </c>
      <c r="E39" s="11" t="s">
        <v>233</v>
      </c>
      <c r="F39" s="11" t="s">
        <v>135</v>
      </c>
      <c r="G39" s="11" t="s">
        <v>136</v>
      </c>
      <c r="H39" s="11" t="s">
        <v>137</v>
      </c>
      <c r="I39" s="11" t="s">
        <v>137</v>
      </c>
      <c r="J39" s="11" t="s">
        <v>138</v>
      </c>
      <c r="K39" s="11"/>
      <c r="L39" s="26">
        <v>100000</v>
      </c>
      <c r="M39" s="5" t="s">
        <v>201</v>
      </c>
    </row>
    <row r="40" spans="1:13" s="4" customFormat="1" x14ac:dyDescent="0.35">
      <c r="A40" s="6">
        <v>45368</v>
      </c>
      <c r="B40" s="68" t="s">
        <v>231</v>
      </c>
      <c r="C40" s="11" t="s">
        <v>98</v>
      </c>
      <c r="D40" s="11" t="s">
        <v>104</v>
      </c>
      <c r="E40" s="11" t="s">
        <v>105</v>
      </c>
      <c r="F40" s="11" t="s">
        <v>36</v>
      </c>
      <c r="G40" s="11" t="s">
        <v>84</v>
      </c>
      <c r="H40" s="11" t="s">
        <v>37</v>
      </c>
      <c r="I40" s="11" t="s">
        <v>106</v>
      </c>
      <c r="J40" s="11" t="s">
        <v>107</v>
      </c>
      <c r="K40" s="11"/>
      <c r="L40" s="26">
        <v>60000</v>
      </c>
      <c r="M40" s="5" t="s">
        <v>206</v>
      </c>
    </row>
    <row r="41" spans="1:13" s="4" customFormat="1" x14ac:dyDescent="0.35">
      <c r="A41" s="6">
        <v>45733</v>
      </c>
      <c r="B41" s="68" t="s">
        <v>232</v>
      </c>
      <c r="C41" s="11" t="s">
        <v>98</v>
      </c>
      <c r="D41" s="11" t="s">
        <v>99</v>
      </c>
      <c r="E41" s="11" t="s">
        <v>100</v>
      </c>
      <c r="F41" s="11" t="s">
        <v>36</v>
      </c>
      <c r="G41" s="11" t="s">
        <v>94</v>
      </c>
      <c r="H41" s="11" t="s">
        <v>11</v>
      </c>
      <c r="I41" s="11" t="s">
        <v>101</v>
      </c>
      <c r="J41" s="11" t="s">
        <v>108</v>
      </c>
      <c r="K41" s="11"/>
      <c r="L41" s="26">
        <v>100000</v>
      </c>
      <c r="M41" s="5" t="s">
        <v>206</v>
      </c>
    </row>
    <row r="42" spans="1:13" x14ac:dyDescent="0.35">
      <c r="A42" s="58">
        <v>45671</v>
      </c>
      <c r="B42" s="59" t="s">
        <v>47</v>
      </c>
      <c r="C42" s="59" t="s">
        <v>23</v>
      </c>
      <c r="D42" s="59" t="s">
        <v>33</v>
      </c>
      <c r="E42" s="59" t="s">
        <v>24</v>
      </c>
      <c r="F42" s="59" t="s">
        <v>25</v>
      </c>
      <c r="G42" s="59" t="s">
        <v>26</v>
      </c>
      <c r="H42" s="59" t="s">
        <v>11</v>
      </c>
      <c r="I42" s="59" t="s">
        <v>27</v>
      </c>
      <c r="J42" s="59" t="s">
        <v>28</v>
      </c>
      <c r="K42" s="59" t="s">
        <v>199</v>
      </c>
      <c r="L42" s="60"/>
      <c r="M42" s="61" t="s">
        <v>207</v>
      </c>
    </row>
    <row r="43" spans="1:13" x14ac:dyDescent="0.35">
      <c r="A43" s="7">
        <v>45671</v>
      </c>
      <c r="B43" s="1" t="s">
        <v>48</v>
      </c>
      <c r="C43" s="1" t="s">
        <v>23</v>
      </c>
      <c r="D43" s="11" t="s">
        <v>30</v>
      </c>
      <c r="E43" s="1" t="s">
        <v>29</v>
      </c>
      <c r="F43" s="1" t="s">
        <v>25</v>
      </c>
      <c r="G43" s="1" t="s">
        <v>31</v>
      </c>
      <c r="H43" s="1" t="s">
        <v>11</v>
      </c>
      <c r="I43" s="1" t="s">
        <v>12</v>
      </c>
      <c r="J43" s="1" t="s">
        <v>32</v>
      </c>
      <c r="K43" s="1" t="s">
        <v>198</v>
      </c>
      <c r="L43" s="23">
        <v>180000</v>
      </c>
      <c r="M43" s="8" t="s">
        <v>206</v>
      </c>
    </row>
    <row r="44" spans="1:13" x14ac:dyDescent="0.35">
      <c r="A44" s="58">
        <v>45702</v>
      </c>
      <c r="B44" s="59" t="s">
        <v>248</v>
      </c>
      <c r="C44" s="59" t="s">
        <v>23</v>
      </c>
      <c r="D44" s="59" t="s">
        <v>34</v>
      </c>
      <c r="E44" s="59" t="s">
        <v>35</v>
      </c>
      <c r="F44" s="59" t="s">
        <v>36</v>
      </c>
      <c r="G44" s="59" t="s">
        <v>31</v>
      </c>
      <c r="H44" s="59" t="s">
        <v>11</v>
      </c>
      <c r="I44" s="59" t="s">
        <v>38</v>
      </c>
      <c r="J44" s="59" t="s">
        <v>39</v>
      </c>
      <c r="K44" s="59" t="s">
        <v>195</v>
      </c>
      <c r="L44" s="60"/>
      <c r="M44" s="61" t="s">
        <v>207</v>
      </c>
    </row>
    <row r="45" spans="1:13" x14ac:dyDescent="0.35">
      <c r="A45" s="8" t="s">
        <v>103</v>
      </c>
      <c r="B45" s="71" t="s">
        <v>49</v>
      </c>
      <c r="C45" s="1" t="s">
        <v>41</v>
      </c>
      <c r="D45" s="11" t="s">
        <v>42</v>
      </c>
      <c r="E45" s="1" t="s">
        <v>43</v>
      </c>
      <c r="F45" s="1" t="s">
        <v>36</v>
      </c>
      <c r="G45" s="1" t="s">
        <v>31</v>
      </c>
      <c r="H45" s="1" t="s">
        <v>37</v>
      </c>
      <c r="I45" s="1" t="s">
        <v>44</v>
      </c>
      <c r="J45" s="1" t="s">
        <v>269</v>
      </c>
      <c r="K45" s="1" t="s">
        <v>192</v>
      </c>
      <c r="L45" s="23">
        <v>80000</v>
      </c>
      <c r="M45" s="8" t="s">
        <v>257</v>
      </c>
    </row>
    <row r="46" spans="1:13" x14ac:dyDescent="0.35">
      <c r="A46" s="8" t="s">
        <v>103</v>
      </c>
      <c r="B46" s="71" t="s">
        <v>49</v>
      </c>
      <c r="C46" s="1" t="s">
        <v>41</v>
      </c>
      <c r="D46" s="11" t="s">
        <v>45</v>
      </c>
      <c r="E46" s="1" t="s">
        <v>46</v>
      </c>
      <c r="F46" s="1" t="s">
        <v>36</v>
      </c>
      <c r="G46" s="1" t="s">
        <v>31</v>
      </c>
      <c r="H46" s="1" t="s">
        <v>37</v>
      </c>
      <c r="I46" s="1" t="s">
        <v>44</v>
      </c>
      <c r="J46" s="1" t="s">
        <v>269</v>
      </c>
      <c r="K46" s="1" t="s">
        <v>192</v>
      </c>
      <c r="L46" s="23">
        <v>80000</v>
      </c>
      <c r="M46" s="8" t="s">
        <v>257</v>
      </c>
    </row>
    <row r="47" spans="1:13" x14ac:dyDescent="0.35">
      <c r="A47" s="8" t="s">
        <v>103</v>
      </c>
      <c r="B47" s="71" t="s">
        <v>49</v>
      </c>
      <c r="C47" s="1" t="s">
        <v>41</v>
      </c>
      <c r="D47" s="11" t="s">
        <v>51</v>
      </c>
      <c r="E47" s="1" t="s">
        <v>52</v>
      </c>
      <c r="F47" s="1" t="s">
        <v>36</v>
      </c>
      <c r="G47" s="1" t="s">
        <v>31</v>
      </c>
      <c r="H47" s="1" t="s">
        <v>37</v>
      </c>
      <c r="I47" s="1" t="s">
        <v>44</v>
      </c>
      <c r="J47" s="1" t="s">
        <v>269</v>
      </c>
      <c r="K47" s="1" t="s">
        <v>192</v>
      </c>
      <c r="L47" s="23">
        <v>70000</v>
      </c>
      <c r="M47" s="8" t="s">
        <v>257</v>
      </c>
    </row>
    <row r="48" spans="1:13" x14ac:dyDescent="0.35">
      <c r="A48" s="8" t="s">
        <v>103</v>
      </c>
      <c r="B48" s="71" t="s">
        <v>49</v>
      </c>
      <c r="C48" s="1" t="s">
        <v>41</v>
      </c>
      <c r="D48" s="11" t="s">
        <v>53</v>
      </c>
      <c r="E48" s="1" t="s">
        <v>54</v>
      </c>
      <c r="F48" s="1" t="s">
        <v>55</v>
      </c>
      <c r="G48" s="1" t="s">
        <v>31</v>
      </c>
      <c r="H48" s="1" t="s">
        <v>37</v>
      </c>
      <c r="I48" s="1" t="s">
        <v>21</v>
      </c>
      <c r="J48" s="1" t="s">
        <v>269</v>
      </c>
      <c r="K48" s="1" t="s">
        <v>192</v>
      </c>
      <c r="L48" s="23">
        <v>50000</v>
      </c>
      <c r="M48" s="8" t="s">
        <v>257</v>
      </c>
    </row>
    <row r="49" spans="1:13" x14ac:dyDescent="0.35">
      <c r="A49" s="8" t="s">
        <v>103</v>
      </c>
      <c r="B49" s="71" t="s">
        <v>49</v>
      </c>
      <c r="C49" s="1" t="s">
        <v>41</v>
      </c>
      <c r="D49" s="11" t="s">
        <v>57</v>
      </c>
      <c r="E49" s="1" t="s">
        <v>58</v>
      </c>
      <c r="F49" s="1" t="s">
        <v>59</v>
      </c>
      <c r="G49" s="1" t="s">
        <v>60</v>
      </c>
      <c r="H49" s="1" t="s">
        <v>11</v>
      </c>
      <c r="I49" s="1" t="s">
        <v>61</v>
      </c>
      <c r="J49" s="1" t="s">
        <v>269</v>
      </c>
      <c r="K49" s="1" t="s">
        <v>192</v>
      </c>
      <c r="L49" s="23">
        <v>300000</v>
      </c>
      <c r="M49" s="8" t="s">
        <v>257</v>
      </c>
    </row>
    <row r="50" spans="1:13" x14ac:dyDescent="0.35">
      <c r="A50" s="8" t="s">
        <v>103</v>
      </c>
      <c r="B50" s="71" t="s">
        <v>50</v>
      </c>
      <c r="C50" s="1" t="s">
        <v>41</v>
      </c>
      <c r="D50" s="11" t="s">
        <v>42</v>
      </c>
      <c r="E50" s="1" t="s">
        <v>43</v>
      </c>
      <c r="F50" s="1" t="s">
        <v>36</v>
      </c>
      <c r="G50" s="1" t="s">
        <v>31</v>
      </c>
      <c r="H50" s="1" t="s">
        <v>37</v>
      </c>
      <c r="I50" s="1" t="s">
        <v>44</v>
      </c>
      <c r="J50" s="1" t="s">
        <v>269</v>
      </c>
      <c r="K50" s="1" t="s">
        <v>192</v>
      </c>
      <c r="L50" s="23">
        <v>50000</v>
      </c>
      <c r="M50" s="8" t="s">
        <v>257</v>
      </c>
    </row>
    <row r="51" spans="1:13" x14ac:dyDescent="0.35">
      <c r="A51" s="8" t="s">
        <v>103</v>
      </c>
      <c r="B51" s="71" t="s">
        <v>50</v>
      </c>
      <c r="C51" s="1" t="s">
        <v>41</v>
      </c>
      <c r="D51" s="11" t="s">
        <v>45</v>
      </c>
      <c r="E51" s="1" t="s">
        <v>46</v>
      </c>
      <c r="F51" s="1" t="s">
        <v>36</v>
      </c>
      <c r="G51" s="1" t="s">
        <v>31</v>
      </c>
      <c r="H51" s="1" t="s">
        <v>37</v>
      </c>
      <c r="I51" s="1" t="s">
        <v>44</v>
      </c>
      <c r="J51" s="1" t="s">
        <v>269</v>
      </c>
      <c r="K51" s="1" t="s">
        <v>192</v>
      </c>
      <c r="L51" s="23">
        <v>50000</v>
      </c>
      <c r="M51" s="8" t="s">
        <v>257</v>
      </c>
    </row>
    <row r="52" spans="1:13" x14ac:dyDescent="0.35">
      <c r="A52" s="8" t="s">
        <v>103</v>
      </c>
      <c r="B52" s="71" t="s">
        <v>50</v>
      </c>
      <c r="C52" s="1" t="s">
        <v>41</v>
      </c>
      <c r="D52" s="11" t="s">
        <v>51</v>
      </c>
      <c r="E52" s="1" t="s">
        <v>52</v>
      </c>
      <c r="F52" s="1" t="s">
        <v>55</v>
      </c>
      <c r="G52" s="1" t="s">
        <v>31</v>
      </c>
      <c r="H52" s="1" t="s">
        <v>37</v>
      </c>
      <c r="I52" s="1" t="s">
        <v>44</v>
      </c>
      <c r="J52" s="1" t="s">
        <v>269</v>
      </c>
      <c r="K52" s="1" t="s">
        <v>192</v>
      </c>
      <c r="L52" s="23">
        <v>50000</v>
      </c>
      <c r="M52" s="8" t="s">
        <v>257</v>
      </c>
    </row>
    <row r="53" spans="1:13" x14ac:dyDescent="0.35">
      <c r="A53" s="8" t="s">
        <v>103</v>
      </c>
      <c r="B53" s="71" t="s">
        <v>50</v>
      </c>
      <c r="C53" s="1" t="s">
        <v>41</v>
      </c>
      <c r="D53" s="11" t="s">
        <v>53</v>
      </c>
      <c r="E53" s="1" t="s">
        <v>54</v>
      </c>
      <c r="F53" s="1" t="s">
        <v>55</v>
      </c>
      <c r="G53" s="1" t="s">
        <v>31</v>
      </c>
      <c r="H53" s="1" t="s">
        <v>37</v>
      </c>
      <c r="I53" s="1" t="s">
        <v>21</v>
      </c>
      <c r="J53" s="1" t="s">
        <v>269</v>
      </c>
      <c r="K53" s="1" t="s">
        <v>192</v>
      </c>
      <c r="L53" s="23">
        <v>50000</v>
      </c>
      <c r="M53" s="8" t="s">
        <v>257</v>
      </c>
    </row>
    <row r="54" spans="1:13" x14ac:dyDescent="0.35">
      <c r="A54" s="7">
        <v>45695</v>
      </c>
      <c r="B54" s="71" t="s">
        <v>118</v>
      </c>
      <c r="C54" s="1" t="s">
        <v>41</v>
      </c>
      <c r="D54" s="11" t="s">
        <v>57</v>
      </c>
      <c r="E54" s="1" t="s">
        <v>58</v>
      </c>
      <c r="F54" s="1" t="s">
        <v>59</v>
      </c>
      <c r="G54" s="1" t="s">
        <v>60</v>
      </c>
      <c r="H54" s="1" t="s">
        <v>11</v>
      </c>
      <c r="I54" s="1" t="s">
        <v>61</v>
      </c>
      <c r="J54" s="1" t="s">
        <v>269</v>
      </c>
      <c r="K54" s="1" t="s">
        <v>192</v>
      </c>
      <c r="L54" s="23">
        <v>180000</v>
      </c>
      <c r="M54" s="8" t="s">
        <v>257</v>
      </c>
    </row>
    <row r="55" spans="1:13" x14ac:dyDescent="0.35">
      <c r="A55" s="7">
        <v>45695</v>
      </c>
      <c r="B55" s="10" t="s">
        <v>56</v>
      </c>
      <c r="C55" s="1" t="s">
        <v>41</v>
      </c>
      <c r="D55" s="11" t="s">
        <v>42</v>
      </c>
      <c r="E55" s="1" t="s">
        <v>43</v>
      </c>
      <c r="F55" s="1" t="s">
        <v>36</v>
      </c>
      <c r="G55" s="1" t="s">
        <v>31</v>
      </c>
      <c r="H55" s="1" t="s">
        <v>37</v>
      </c>
      <c r="I55" s="1" t="s">
        <v>44</v>
      </c>
      <c r="J55" s="1" t="s">
        <v>269</v>
      </c>
      <c r="K55" s="1" t="s">
        <v>192</v>
      </c>
      <c r="L55" s="23">
        <v>50000</v>
      </c>
      <c r="M55" s="8" t="s">
        <v>257</v>
      </c>
    </row>
    <row r="56" spans="1:13" x14ac:dyDescent="0.35">
      <c r="A56" s="8" t="s">
        <v>103</v>
      </c>
      <c r="B56" s="65" t="s">
        <v>56</v>
      </c>
      <c r="C56" s="1" t="s">
        <v>41</v>
      </c>
      <c r="D56" s="11" t="s">
        <v>45</v>
      </c>
      <c r="E56" s="1" t="s">
        <v>46</v>
      </c>
      <c r="F56" s="1" t="s">
        <v>36</v>
      </c>
      <c r="G56" s="1" t="s">
        <v>31</v>
      </c>
      <c r="H56" s="1" t="s">
        <v>37</v>
      </c>
      <c r="I56" s="1" t="s">
        <v>44</v>
      </c>
      <c r="J56" s="1" t="s">
        <v>269</v>
      </c>
      <c r="K56" s="1" t="s">
        <v>192</v>
      </c>
      <c r="L56" s="23">
        <v>50000</v>
      </c>
      <c r="M56" s="8" t="s">
        <v>257</v>
      </c>
    </row>
    <row r="57" spans="1:13" x14ac:dyDescent="0.35">
      <c r="A57" s="8" t="s">
        <v>103</v>
      </c>
      <c r="B57" s="65" t="s">
        <v>56</v>
      </c>
      <c r="C57" s="1" t="s">
        <v>41</v>
      </c>
      <c r="D57" s="11" t="s">
        <v>51</v>
      </c>
      <c r="E57" s="1" t="s">
        <v>52</v>
      </c>
      <c r="F57" s="1" t="s">
        <v>36</v>
      </c>
      <c r="G57" s="1" t="s">
        <v>31</v>
      </c>
      <c r="H57" s="1" t="s">
        <v>37</v>
      </c>
      <c r="I57" s="1" t="s">
        <v>44</v>
      </c>
      <c r="J57" s="1" t="s">
        <v>269</v>
      </c>
      <c r="K57" s="1" t="s">
        <v>192</v>
      </c>
      <c r="L57" s="23">
        <v>50000</v>
      </c>
      <c r="M57" s="8" t="s">
        <v>257</v>
      </c>
    </row>
    <row r="58" spans="1:13" x14ac:dyDescent="0.35">
      <c r="A58" s="58">
        <v>45678</v>
      </c>
      <c r="B58" s="59" t="s">
        <v>62</v>
      </c>
      <c r="C58" s="59" t="s">
        <v>63</v>
      </c>
      <c r="D58" s="59" t="s">
        <v>64</v>
      </c>
      <c r="E58" s="59" t="s">
        <v>54</v>
      </c>
      <c r="F58" s="59" t="s">
        <v>65</v>
      </c>
      <c r="G58" s="59" t="s">
        <v>66</v>
      </c>
      <c r="H58" s="59" t="s">
        <v>37</v>
      </c>
      <c r="I58" s="59" t="s">
        <v>21</v>
      </c>
      <c r="J58" s="59" t="s">
        <v>67</v>
      </c>
      <c r="K58" s="59" t="s">
        <v>192</v>
      </c>
      <c r="L58" s="60"/>
      <c r="M58" s="61" t="s">
        <v>207</v>
      </c>
    </row>
    <row r="59" spans="1:13" x14ac:dyDescent="0.35">
      <c r="A59" s="7">
        <v>45717</v>
      </c>
      <c r="B59" s="65" t="s">
        <v>76</v>
      </c>
      <c r="C59" s="1"/>
      <c r="D59" s="11" t="s">
        <v>214</v>
      </c>
      <c r="E59" s="1" t="s">
        <v>46</v>
      </c>
      <c r="F59" s="1" t="s">
        <v>215</v>
      </c>
      <c r="G59" s="1" t="s">
        <v>216</v>
      </c>
      <c r="H59" s="1" t="s">
        <v>37</v>
      </c>
      <c r="I59" s="1" t="s">
        <v>38</v>
      </c>
      <c r="J59" s="1" t="s">
        <v>217</v>
      </c>
      <c r="K59" s="1" t="s">
        <v>192</v>
      </c>
      <c r="L59" s="23">
        <v>1000000</v>
      </c>
      <c r="M59" s="8" t="s">
        <v>257</v>
      </c>
    </row>
    <row r="60" spans="1:13" x14ac:dyDescent="0.35">
      <c r="A60" s="7">
        <v>45717</v>
      </c>
      <c r="B60" s="65" t="s">
        <v>76</v>
      </c>
      <c r="C60" s="1" t="s">
        <v>63</v>
      </c>
      <c r="D60" s="11" t="s">
        <v>68</v>
      </c>
      <c r="E60" s="1" t="s">
        <v>69</v>
      </c>
      <c r="F60" s="1" t="s">
        <v>70</v>
      </c>
      <c r="G60" s="1" t="s">
        <v>71</v>
      </c>
      <c r="H60" s="1" t="s">
        <v>37</v>
      </c>
      <c r="I60" s="1" t="s">
        <v>38</v>
      </c>
      <c r="J60" s="1" t="s">
        <v>74</v>
      </c>
      <c r="K60" s="1" t="s">
        <v>192</v>
      </c>
      <c r="L60" s="23">
        <v>80000</v>
      </c>
      <c r="M60" s="8" t="s">
        <v>257</v>
      </c>
    </row>
    <row r="61" spans="1:13" x14ac:dyDescent="0.35">
      <c r="A61" s="7">
        <v>45717</v>
      </c>
      <c r="B61" s="65" t="s">
        <v>77</v>
      </c>
      <c r="C61" s="1" t="s">
        <v>63</v>
      </c>
      <c r="D61" s="11" t="s">
        <v>72</v>
      </c>
      <c r="E61" s="1" t="s">
        <v>73</v>
      </c>
      <c r="F61" s="1" t="s">
        <v>75</v>
      </c>
      <c r="G61" s="1" t="s">
        <v>31</v>
      </c>
      <c r="H61" s="1" t="s">
        <v>37</v>
      </c>
      <c r="I61" s="1" t="s">
        <v>78</v>
      </c>
      <c r="J61" s="1" t="s">
        <v>212</v>
      </c>
      <c r="K61" s="1" t="s">
        <v>192</v>
      </c>
      <c r="L61" s="23">
        <v>80000</v>
      </c>
      <c r="M61" s="8" t="s">
        <v>257</v>
      </c>
    </row>
    <row r="62" spans="1:13" x14ac:dyDescent="0.35">
      <c r="A62" s="7">
        <v>45717</v>
      </c>
      <c r="B62" s="65" t="s">
        <v>76</v>
      </c>
      <c r="C62" s="1"/>
      <c r="D62" s="11" t="s">
        <v>213</v>
      </c>
      <c r="E62" s="1" t="s">
        <v>213</v>
      </c>
      <c r="F62" s="1" t="s">
        <v>218</v>
      </c>
      <c r="G62" s="1" t="s">
        <v>219</v>
      </c>
      <c r="H62" s="1" t="s">
        <v>37</v>
      </c>
      <c r="I62" s="1" t="s">
        <v>38</v>
      </c>
      <c r="J62" s="57" t="s">
        <v>220</v>
      </c>
      <c r="K62" s="1" t="s">
        <v>192</v>
      </c>
      <c r="L62" s="23">
        <v>1000000</v>
      </c>
      <c r="M62" s="8" t="s">
        <v>257</v>
      </c>
    </row>
    <row r="63" spans="1:13" x14ac:dyDescent="0.35">
      <c r="A63" s="7">
        <v>45717</v>
      </c>
      <c r="B63" s="65" t="s">
        <v>76</v>
      </c>
      <c r="C63" s="1" t="s">
        <v>63</v>
      </c>
      <c r="D63" s="11" t="s">
        <v>79</v>
      </c>
      <c r="E63" s="1" t="s">
        <v>79</v>
      </c>
      <c r="F63" s="1" t="s">
        <v>36</v>
      </c>
      <c r="G63" s="1" t="s">
        <v>31</v>
      </c>
      <c r="H63" s="1" t="s">
        <v>37</v>
      </c>
      <c r="I63" s="1" t="s">
        <v>21</v>
      </c>
      <c r="J63" s="1" t="s">
        <v>80</v>
      </c>
      <c r="K63" s="1" t="s">
        <v>192</v>
      </c>
      <c r="L63" s="23">
        <v>100000</v>
      </c>
      <c r="M63" s="8" t="s">
        <v>257</v>
      </c>
    </row>
    <row r="64" spans="1:13" x14ac:dyDescent="0.35">
      <c r="A64" s="7">
        <v>45717</v>
      </c>
      <c r="B64" s="62" t="s">
        <v>82</v>
      </c>
      <c r="C64" s="1" t="s">
        <v>41</v>
      </c>
      <c r="D64" s="11" t="s">
        <v>83</v>
      </c>
      <c r="E64" s="1" t="s">
        <v>43</v>
      </c>
      <c r="F64" s="1" t="s">
        <v>36</v>
      </c>
      <c r="G64" s="1" t="s">
        <v>84</v>
      </c>
      <c r="H64" s="1" t="s">
        <v>11</v>
      </c>
      <c r="I64" s="1" t="s">
        <v>21</v>
      </c>
      <c r="J64" s="1" t="s">
        <v>86</v>
      </c>
      <c r="K64" s="1" t="s">
        <v>192</v>
      </c>
      <c r="L64" s="23">
        <v>100000</v>
      </c>
      <c r="M64" s="8" t="s">
        <v>202</v>
      </c>
    </row>
    <row r="65" spans="1:13" ht="15" thickBot="1" x14ac:dyDescent="0.4">
      <c r="A65" s="58">
        <v>45627</v>
      </c>
      <c r="B65" s="59" t="s">
        <v>90</v>
      </c>
      <c r="C65" s="59" t="s">
        <v>87</v>
      </c>
      <c r="D65" s="59" t="s">
        <v>124</v>
      </c>
      <c r="E65" s="59" t="s">
        <v>123</v>
      </c>
      <c r="F65" s="59" t="s">
        <v>125</v>
      </c>
      <c r="G65" s="59" t="s">
        <v>94</v>
      </c>
      <c r="H65" s="59" t="s">
        <v>11</v>
      </c>
      <c r="I65" s="59" t="s">
        <v>11</v>
      </c>
      <c r="J65" s="59" t="s">
        <v>126</v>
      </c>
      <c r="K65" s="63" t="s">
        <v>193</v>
      </c>
      <c r="L65" s="64"/>
      <c r="M65" s="61" t="s">
        <v>207</v>
      </c>
    </row>
    <row r="66" spans="1:13" ht="15" thickBot="1" x14ac:dyDescent="0.4">
      <c r="K66" s="20" t="s">
        <v>146</v>
      </c>
      <c r="L66" s="27">
        <f>SUM(L31:L65)</f>
        <v>4205000</v>
      </c>
    </row>
  </sheetData>
  <autoFilter ref="A1:M1" xr:uid="{B86072AD-B776-42C4-AEB1-89E9289E2F14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660CD9C-6759-4D17-A7BE-135C6C625157}">
          <x14:formula1>
            <xm:f>DATA!$A$6:$A$43</xm:f>
          </x14:formula1>
          <xm:sqref>J78 L31:L65</xm:sqref>
        </x14:dataValidation>
        <x14:dataValidation type="list" allowBlank="1" showInputMessage="1" showErrorMessage="1" xr:uid="{5E610524-9664-46AF-9715-93635A88F750}">
          <x14:formula1>
            <xm:f>DATA!$C$6:$C$13</xm:f>
          </x14:formula1>
          <xm:sqref>K67 K31:K65 K10:K11</xm:sqref>
        </x14:dataValidation>
        <x14:dataValidation type="list" allowBlank="1" showInputMessage="1" showErrorMessage="1" xr:uid="{DDF64AD9-5CB8-455D-8F0F-F86A0D2A648B}">
          <x14:formula1>
            <xm:f>DATA!$E$6:$E$14</xm:f>
          </x14:formula1>
          <xm:sqref>M2:M65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2393-95F0-4B27-BD12-60FC77D0C282}">
  <sheetPr>
    <tabColor rgb="FFFFC000"/>
  </sheetPr>
  <dimension ref="A1:M27"/>
  <sheetViews>
    <sheetView workbookViewId="0">
      <selection activeCell="L12" sqref="L12"/>
    </sheetView>
  </sheetViews>
  <sheetFormatPr defaultRowHeight="14.5" x14ac:dyDescent="0.35"/>
  <cols>
    <col min="1" max="1" width="10.26953125" style="38" customWidth="1"/>
    <col min="2" max="2" width="23.54296875" customWidth="1"/>
    <col min="3" max="3" width="15.90625" customWidth="1"/>
    <col min="4" max="4" width="21.453125" customWidth="1"/>
    <col min="5" max="5" width="40.54296875" customWidth="1"/>
    <col min="6" max="6" width="16" customWidth="1"/>
    <col min="7" max="7" width="17.36328125" customWidth="1"/>
    <col min="9" max="9" width="18.08984375" customWidth="1"/>
    <col min="10" max="10" width="16.90625" customWidth="1"/>
    <col min="11" max="11" width="21.1796875" customWidth="1"/>
    <col min="12" max="12" width="22.7265625" customWidth="1"/>
    <col min="13" max="13" width="26.81640625" customWidth="1"/>
  </cols>
  <sheetData>
    <row r="1" spans="1:13" x14ac:dyDescent="0.35">
      <c r="A1" s="34" t="s">
        <v>102</v>
      </c>
      <c r="B1" s="10" t="s">
        <v>110</v>
      </c>
      <c r="C1" s="10" t="s">
        <v>0</v>
      </c>
      <c r="D1" s="10" t="s">
        <v>1</v>
      </c>
      <c r="E1" s="10" t="s">
        <v>148</v>
      </c>
      <c r="F1" s="10" t="s">
        <v>3</v>
      </c>
      <c r="G1" s="10" t="s">
        <v>6</v>
      </c>
      <c r="H1" s="10" t="s">
        <v>5</v>
      </c>
      <c r="I1" s="10" t="s">
        <v>4</v>
      </c>
      <c r="J1" s="10" t="s">
        <v>7</v>
      </c>
      <c r="K1" s="10" t="s">
        <v>169</v>
      </c>
      <c r="L1" s="25" t="s">
        <v>127</v>
      </c>
      <c r="M1" s="9" t="s">
        <v>109</v>
      </c>
    </row>
    <row r="2" spans="1:13" s="4" customFormat="1" x14ac:dyDescent="0.35">
      <c r="A2" s="35"/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33"/>
    </row>
    <row r="3" spans="1:13" s="4" customFormat="1" x14ac:dyDescent="0.35">
      <c r="A3" s="35"/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  <c r="M3" s="33"/>
    </row>
    <row r="4" spans="1:13" s="4" customFormat="1" x14ac:dyDescent="0.35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3"/>
    </row>
    <row r="5" spans="1:13" s="4" customFormat="1" x14ac:dyDescent="0.35">
      <c r="A5" s="35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M5" s="33"/>
    </row>
    <row r="6" spans="1:13" s="4" customFormat="1" x14ac:dyDescent="0.35">
      <c r="A6" s="35"/>
      <c r="B6" s="31"/>
      <c r="C6" s="31"/>
      <c r="D6" s="31"/>
      <c r="E6" s="31"/>
      <c r="F6" s="31"/>
      <c r="G6" s="31"/>
      <c r="H6" s="31"/>
      <c r="I6" s="31"/>
      <c r="J6" s="31"/>
      <c r="K6" s="31"/>
      <c r="L6" s="32"/>
      <c r="M6" s="33"/>
    </row>
    <row r="7" spans="1:13" s="4" customFormat="1" x14ac:dyDescent="0.35">
      <c r="A7" s="40">
        <v>45690</v>
      </c>
      <c r="B7" s="41" t="s">
        <v>149</v>
      </c>
      <c r="C7" s="41" t="s">
        <v>150</v>
      </c>
      <c r="D7" s="41" t="s">
        <v>185</v>
      </c>
      <c r="E7" s="42"/>
      <c r="F7" s="42"/>
      <c r="G7" s="41" t="s">
        <v>186</v>
      </c>
      <c r="H7" s="42"/>
      <c r="I7" s="42"/>
      <c r="J7" s="42"/>
      <c r="K7" s="42"/>
      <c r="L7" s="43">
        <v>60000</v>
      </c>
      <c r="M7" s="44"/>
    </row>
    <row r="8" spans="1:13" x14ac:dyDescent="0.35">
      <c r="A8" s="40">
        <v>45690</v>
      </c>
      <c r="B8" s="41" t="s">
        <v>149</v>
      </c>
      <c r="C8" s="41" t="s">
        <v>150</v>
      </c>
      <c r="D8" s="41" t="s">
        <v>157</v>
      </c>
      <c r="E8" s="41" t="s">
        <v>151</v>
      </c>
      <c r="F8" s="41" t="s">
        <v>152</v>
      </c>
      <c r="G8" s="41" t="s">
        <v>153</v>
      </c>
      <c r="H8" s="41" t="s">
        <v>137</v>
      </c>
      <c r="I8" s="41" t="s">
        <v>137</v>
      </c>
      <c r="J8" s="41" t="s">
        <v>154</v>
      </c>
      <c r="K8" s="41" t="s">
        <v>155</v>
      </c>
      <c r="L8" s="45">
        <v>24000</v>
      </c>
      <c r="M8" s="46" t="s">
        <v>156</v>
      </c>
    </row>
    <row r="9" spans="1:13" x14ac:dyDescent="0.35">
      <c r="A9" s="40">
        <v>45690</v>
      </c>
      <c r="B9" s="41" t="s">
        <v>149</v>
      </c>
      <c r="C9" s="41" t="s">
        <v>150</v>
      </c>
      <c r="D9" s="41" t="s">
        <v>158</v>
      </c>
      <c r="E9" s="41" t="s">
        <v>159</v>
      </c>
      <c r="F9" s="41" t="s">
        <v>160</v>
      </c>
      <c r="G9" s="41" t="s">
        <v>161</v>
      </c>
      <c r="H9" s="41" t="s">
        <v>95</v>
      </c>
      <c r="I9" s="41" t="s">
        <v>95</v>
      </c>
      <c r="J9" s="41" t="s">
        <v>162</v>
      </c>
      <c r="K9" s="41" t="s">
        <v>155</v>
      </c>
      <c r="L9" s="45">
        <v>8000</v>
      </c>
      <c r="M9" s="46" t="s">
        <v>163</v>
      </c>
    </row>
    <row r="10" spans="1:13" x14ac:dyDescent="0.35">
      <c r="A10" s="40">
        <v>45690</v>
      </c>
      <c r="B10" s="41" t="s">
        <v>149</v>
      </c>
      <c r="C10" s="41" t="s">
        <v>150</v>
      </c>
      <c r="D10" s="41" t="s">
        <v>164</v>
      </c>
      <c r="E10" s="41" t="s">
        <v>165</v>
      </c>
      <c r="F10" s="41" t="s">
        <v>166</v>
      </c>
      <c r="G10" s="41" t="s">
        <v>167</v>
      </c>
      <c r="H10" s="41" t="s">
        <v>95</v>
      </c>
      <c r="I10" s="41" t="s">
        <v>95</v>
      </c>
      <c r="J10" s="41" t="s">
        <v>168</v>
      </c>
      <c r="K10" s="41" t="s">
        <v>170</v>
      </c>
      <c r="L10" s="45">
        <v>10000</v>
      </c>
      <c r="M10" s="46" t="s">
        <v>171</v>
      </c>
    </row>
    <row r="11" spans="1:13" x14ac:dyDescent="0.35">
      <c r="A11" s="40">
        <v>45735</v>
      </c>
      <c r="B11" s="41" t="s">
        <v>149</v>
      </c>
      <c r="C11" s="41" t="s">
        <v>150</v>
      </c>
      <c r="D11" s="41" t="s">
        <v>172</v>
      </c>
      <c r="E11" s="41" t="s">
        <v>174</v>
      </c>
      <c r="F11" s="41" t="s">
        <v>175</v>
      </c>
      <c r="G11" s="41" t="s">
        <v>176</v>
      </c>
      <c r="H11" s="41" t="s">
        <v>40</v>
      </c>
      <c r="I11" s="41" t="s">
        <v>40</v>
      </c>
      <c r="J11" s="41" t="s">
        <v>178</v>
      </c>
      <c r="K11" s="41"/>
      <c r="L11" s="45">
        <v>60000</v>
      </c>
      <c r="M11" s="46" t="s">
        <v>81</v>
      </c>
    </row>
    <row r="12" spans="1:13" x14ac:dyDescent="0.35">
      <c r="A12" s="40">
        <v>45735</v>
      </c>
      <c r="B12" s="41" t="s">
        <v>149</v>
      </c>
      <c r="C12" s="41" t="s">
        <v>150</v>
      </c>
      <c r="D12" s="41" t="s">
        <v>189</v>
      </c>
      <c r="E12" s="41" t="s">
        <v>177</v>
      </c>
      <c r="F12" s="41" t="s">
        <v>59</v>
      </c>
      <c r="G12" s="41" t="s">
        <v>155</v>
      </c>
      <c r="H12" s="41" t="s">
        <v>137</v>
      </c>
      <c r="I12" s="41" t="s">
        <v>137</v>
      </c>
      <c r="J12" s="41" t="s">
        <v>178</v>
      </c>
      <c r="K12" s="41"/>
      <c r="L12" s="45">
        <v>15000</v>
      </c>
      <c r="M12" s="46" t="s">
        <v>81</v>
      </c>
    </row>
    <row r="13" spans="1:13" x14ac:dyDescent="0.35">
      <c r="A13" s="40">
        <v>45735</v>
      </c>
      <c r="B13" s="41" t="s">
        <v>149</v>
      </c>
      <c r="C13" s="41" t="s">
        <v>150</v>
      </c>
      <c r="D13" s="41" t="s">
        <v>180</v>
      </c>
      <c r="E13" s="41" t="s">
        <v>179</v>
      </c>
      <c r="F13" s="47" t="s">
        <v>183</v>
      </c>
      <c r="G13" s="41" t="s">
        <v>153</v>
      </c>
      <c r="H13" s="41" t="s">
        <v>137</v>
      </c>
      <c r="I13" s="41" t="s">
        <v>137</v>
      </c>
      <c r="J13" s="41" t="s">
        <v>178</v>
      </c>
      <c r="K13" s="41"/>
      <c r="L13" s="45">
        <v>20000</v>
      </c>
      <c r="M13" s="46" t="s">
        <v>81</v>
      </c>
    </row>
    <row r="14" spans="1:13" x14ac:dyDescent="0.35">
      <c r="A14" s="40">
        <v>45735</v>
      </c>
      <c r="B14" s="41" t="s">
        <v>149</v>
      </c>
      <c r="C14" s="41" t="s">
        <v>150</v>
      </c>
      <c r="D14" s="41" t="s">
        <v>173</v>
      </c>
      <c r="E14" s="41" t="s">
        <v>181</v>
      </c>
      <c r="F14" s="41" t="s">
        <v>182</v>
      </c>
      <c r="G14" s="41" t="s">
        <v>155</v>
      </c>
      <c r="H14" s="41" t="s">
        <v>137</v>
      </c>
      <c r="I14" s="41" t="s">
        <v>137</v>
      </c>
      <c r="J14" s="41" t="s">
        <v>178</v>
      </c>
      <c r="K14" s="41"/>
      <c r="L14" s="45">
        <v>50000</v>
      </c>
      <c r="M14" s="46" t="s">
        <v>81</v>
      </c>
    </row>
    <row r="15" spans="1:13" x14ac:dyDescent="0.35">
      <c r="A15" s="36"/>
      <c r="M15" s="28"/>
    </row>
    <row r="16" spans="1:13" x14ac:dyDescent="0.35">
      <c r="A16" s="36"/>
      <c r="M16" s="28"/>
    </row>
    <row r="17" spans="1:13" x14ac:dyDescent="0.35">
      <c r="A17" s="36"/>
      <c r="M17" s="28"/>
    </row>
    <row r="18" spans="1:13" x14ac:dyDescent="0.35">
      <c r="A18" s="36"/>
      <c r="M18" s="28"/>
    </row>
    <row r="19" spans="1:13" x14ac:dyDescent="0.35">
      <c r="A19" s="36"/>
      <c r="M19" s="28"/>
    </row>
    <row r="20" spans="1:13" x14ac:dyDescent="0.35">
      <c r="A20" s="36"/>
      <c r="M20" s="28"/>
    </row>
    <row r="21" spans="1:13" x14ac:dyDescent="0.35">
      <c r="A21" s="36"/>
      <c r="M21" s="28"/>
    </row>
    <row r="22" spans="1:13" x14ac:dyDescent="0.35">
      <c r="A22" s="36"/>
      <c r="M22" s="28"/>
    </row>
    <row r="23" spans="1:13" x14ac:dyDescent="0.35">
      <c r="A23" s="36"/>
      <c r="M23" s="28"/>
    </row>
    <row r="24" spans="1:13" x14ac:dyDescent="0.35">
      <c r="A24" s="36"/>
      <c r="M24" s="28"/>
    </row>
    <row r="25" spans="1:13" x14ac:dyDescent="0.35">
      <c r="A25" s="36"/>
      <c r="M25" s="28"/>
    </row>
    <row r="26" spans="1:13" x14ac:dyDescent="0.35">
      <c r="A26" s="37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x14ac:dyDescent="0.35">
      <c r="K27" t="s">
        <v>184</v>
      </c>
      <c r="L27" s="17">
        <f>SUM(L6:L26)</f>
        <v>247000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61E-E4D4-4199-B1FF-CA831DC24C23}">
  <sheetPr>
    <tabColor theme="9" tint="0.59999389629810485"/>
  </sheetPr>
  <dimension ref="A1:L10"/>
  <sheetViews>
    <sheetView workbookViewId="0">
      <selection activeCell="D42" sqref="D42"/>
    </sheetView>
  </sheetViews>
  <sheetFormatPr defaultRowHeight="14.5" x14ac:dyDescent="0.35"/>
  <cols>
    <col min="1" max="1" width="12.6328125" customWidth="1"/>
    <col min="2" max="2" width="32" customWidth="1"/>
    <col min="3" max="3" width="15.36328125" customWidth="1"/>
    <col min="4" max="4" width="29.26953125" customWidth="1"/>
    <col min="5" max="5" width="12.7265625" customWidth="1"/>
    <col min="8" max="8" width="24" customWidth="1"/>
    <col min="9" max="9" width="36.7265625" bestFit="1" customWidth="1"/>
    <col min="10" max="10" width="23.36328125" customWidth="1"/>
    <col min="11" max="11" width="23.81640625" customWidth="1"/>
    <col min="12" max="12" width="35" customWidth="1"/>
  </cols>
  <sheetData>
    <row r="1" spans="1:12" x14ac:dyDescent="0.35">
      <c r="A1" s="9" t="s">
        <v>102</v>
      </c>
      <c r="B1" s="10" t="s">
        <v>110</v>
      </c>
      <c r="C1" s="10" t="s">
        <v>0</v>
      </c>
      <c r="D1" s="10" t="s">
        <v>131</v>
      </c>
      <c r="E1" s="10" t="s">
        <v>2</v>
      </c>
      <c r="F1" s="10" t="s">
        <v>3</v>
      </c>
      <c r="G1" s="10" t="s">
        <v>5</v>
      </c>
      <c r="H1" s="10" t="s">
        <v>4</v>
      </c>
      <c r="I1" s="10" t="s">
        <v>7</v>
      </c>
      <c r="J1" s="10" t="s">
        <v>111</v>
      </c>
      <c r="K1" s="10" t="s">
        <v>127</v>
      </c>
      <c r="L1" s="9" t="s">
        <v>109</v>
      </c>
    </row>
    <row r="2" spans="1:12" x14ac:dyDescent="0.3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5"/>
    </row>
    <row r="3" spans="1:12" x14ac:dyDescent="0.3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5"/>
    </row>
    <row r="4" spans="1:12" x14ac:dyDescent="0.3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5"/>
    </row>
    <row r="5" spans="1:12" x14ac:dyDescent="0.3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5"/>
    </row>
    <row r="6" spans="1:12" x14ac:dyDescent="0.35">
      <c r="A6" s="6">
        <v>45736</v>
      </c>
      <c r="B6" s="11" t="s">
        <v>114</v>
      </c>
      <c r="C6" s="11" t="s">
        <v>63</v>
      </c>
      <c r="D6" s="11" t="s">
        <v>115</v>
      </c>
      <c r="E6" s="11" t="s">
        <v>116</v>
      </c>
      <c r="F6" s="11" t="s">
        <v>36</v>
      </c>
      <c r="G6" s="11" t="s">
        <v>11</v>
      </c>
      <c r="H6" s="11" t="s">
        <v>101</v>
      </c>
      <c r="I6" s="11" t="s">
        <v>117</v>
      </c>
      <c r="J6" s="11" t="s">
        <v>119</v>
      </c>
      <c r="K6" s="14">
        <v>20000</v>
      </c>
      <c r="L6" s="5" t="s">
        <v>112</v>
      </c>
    </row>
    <row r="7" spans="1:12" hidden="1" x14ac:dyDescent="0.35">
      <c r="A7" s="7">
        <v>45671</v>
      </c>
      <c r="B7" s="1" t="s">
        <v>132</v>
      </c>
      <c r="C7" s="1" t="s">
        <v>8</v>
      </c>
      <c r="D7" s="1" t="s">
        <v>17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22</v>
      </c>
      <c r="J7" s="1" t="s">
        <v>120</v>
      </c>
      <c r="K7" s="13"/>
      <c r="L7" s="8" t="s">
        <v>207</v>
      </c>
    </row>
    <row r="8" spans="1:12" x14ac:dyDescent="0.35">
      <c r="A8" s="7">
        <v>45671</v>
      </c>
      <c r="B8" s="1" t="s">
        <v>132</v>
      </c>
      <c r="C8" s="1" t="s">
        <v>8</v>
      </c>
      <c r="D8" s="1" t="s">
        <v>19</v>
      </c>
      <c r="E8" s="1" t="s">
        <v>13</v>
      </c>
      <c r="F8" s="1" t="s">
        <v>14</v>
      </c>
      <c r="G8" s="1" t="s">
        <v>11</v>
      </c>
      <c r="H8" s="1" t="s">
        <v>12</v>
      </c>
      <c r="I8" s="1" t="s">
        <v>16</v>
      </c>
      <c r="J8" s="1" t="s">
        <v>120</v>
      </c>
      <c r="K8" s="13">
        <v>20000</v>
      </c>
      <c r="L8" s="8" t="s">
        <v>206</v>
      </c>
    </row>
    <row r="9" spans="1:12" ht="15" thickBot="1" x14ac:dyDescent="0.4">
      <c r="A9" s="7">
        <v>45681</v>
      </c>
      <c r="B9" s="1" t="s">
        <v>132</v>
      </c>
      <c r="C9" s="1" t="s">
        <v>8</v>
      </c>
      <c r="D9" s="1" t="s">
        <v>18</v>
      </c>
      <c r="E9" s="1" t="s">
        <v>15</v>
      </c>
      <c r="F9" s="1" t="s">
        <v>20</v>
      </c>
      <c r="G9" s="1" t="s">
        <v>37</v>
      </c>
      <c r="H9" s="1" t="s">
        <v>12</v>
      </c>
      <c r="I9" s="1" t="s">
        <v>16</v>
      </c>
      <c r="J9" s="3" t="s">
        <v>120</v>
      </c>
      <c r="K9" s="18">
        <v>100000</v>
      </c>
      <c r="L9" s="8" t="s">
        <v>201</v>
      </c>
    </row>
    <row r="10" spans="1:12" ht="15" thickBot="1" x14ac:dyDescent="0.4">
      <c r="J10" s="20" t="s">
        <v>146</v>
      </c>
      <c r="K10" s="19">
        <f>SUM(K2:K9)</f>
        <v>140000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6E7F10-8A7A-4E28-AB61-96B22FBF2626}">
          <x14:formula1>
            <xm:f>DATA!$E$6:$E$14</xm:f>
          </x14:formula1>
          <xm:sqref>L2:L9</xm:sqref>
        </x14:dataValidation>
        <x14:dataValidation type="list" allowBlank="1" showInputMessage="1" showErrorMessage="1" xr:uid="{C9C330A2-EA74-4978-8156-CB7A7C2EB903}">
          <x14:formula1>
            <xm:f>DATA!$A$6:$A$43</xm:f>
          </x14:formula1>
          <xm:sqref>K2:K9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B884-44CF-4D63-9F4C-302D3E4953B6}">
  <sheetPr>
    <tabColor theme="8" tint="0.79998168889431442"/>
  </sheetPr>
  <dimension ref="A1:M8"/>
  <sheetViews>
    <sheetView workbookViewId="0">
      <selection activeCell="A3" sqref="A3:XFD3"/>
    </sheetView>
  </sheetViews>
  <sheetFormatPr defaultRowHeight="14.5" x14ac:dyDescent="0.35"/>
  <cols>
    <col min="1" max="1" width="15.453125" customWidth="1"/>
    <col min="2" max="2" width="10.36328125" customWidth="1"/>
    <col min="3" max="3" width="17" customWidth="1"/>
    <col min="4" max="4" width="22" customWidth="1"/>
    <col min="5" max="5" width="11.90625" customWidth="1"/>
    <col min="6" max="6" width="14.81640625" customWidth="1"/>
    <col min="7" max="7" width="16.08984375" customWidth="1"/>
    <col min="10" max="10" width="31.26953125" customWidth="1"/>
    <col min="11" max="11" width="15.1796875" customWidth="1"/>
    <col min="12" max="12" width="19.54296875" customWidth="1"/>
    <col min="13" max="13" width="14.1796875" customWidth="1"/>
  </cols>
  <sheetData>
    <row r="1" spans="1:13" x14ac:dyDescent="0.35">
      <c r="A1" s="9" t="s">
        <v>102</v>
      </c>
      <c r="B1" s="10" t="s">
        <v>110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6</v>
      </c>
      <c r="H1" s="10" t="s">
        <v>5</v>
      </c>
      <c r="I1" s="10" t="s">
        <v>4</v>
      </c>
      <c r="J1" s="10" t="s">
        <v>7</v>
      </c>
      <c r="K1" s="10" t="s">
        <v>111</v>
      </c>
      <c r="L1" s="10" t="s">
        <v>127</v>
      </c>
      <c r="M1" s="9" t="s">
        <v>109</v>
      </c>
    </row>
    <row r="2" spans="1:13" x14ac:dyDescent="0.3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5"/>
    </row>
    <row r="3" spans="1:13" x14ac:dyDescent="0.3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5"/>
    </row>
    <row r="4" spans="1:13" x14ac:dyDescent="0.3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5"/>
    </row>
    <row r="5" spans="1:13" x14ac:dyDescent="0.3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5"/>
    </row>
    <row r="6" spans="1:13" x14ac:dyDescent="0.35">
      <c r="A6" s="7">
        <v>45627</v>
      </c>
      <c r="B6" s="1" t="s">
        <v>90</v>
      </c>
      <c r="C6" s="1" t="s">
        <v>87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95</v>
      </c>
      <c r="J6" s="1" t="s">
        <v>96</v>
      </c>
      <c r="K6" s="1" t="s">
        <v>121</v>
      </c>
      <c r="L6" s="13">
        <v>24000</v>
      </c>
      <c r="M6" s="12" t="s">
        <v>97</v>
      </c>
    </row>
    <row r="7" spans="1:13" ht="15" thickBot="1" x14ac:dyDescent="0.4">
      <c r="A7" s="7">
        <v>45627</v>
      </c>
      <c r="B7" s="1" t="s">
        <v>90</v>
      </c>
      <c r="C7" s="1" t="s">
        <v>87</v>
      </c>
      <c r="D7" s="1" t="s">
        <v>128</v>
      </c>
      <c r="E7" s="1" t="s">
        <v>88</v>
      </c>
      <c r="F7" s="1" t="s">
        <v>129</v>
      </c>
      <c r="G7" s="1" t="s">
        <v>130</v>
      </c>
      <c r="H7" s="1" t="s">
        <v>85</v>
      </c>
      <c r="I7" s="1" t="s">
        <v>21</v>
      </c>
      <c r="J7" s="1" t="s">
        <v>89</v>
      </c>
      <c r="K7" s="3" t="s">
        <v>122</v>
      </c>
      <c r="L7" s="18">
        <v>10000</v>
      </c>
      <c r="M7" s="12" t="s">
        <v>97</v>
      </c>
    </row>
    <row r="8" spans="1:13" ht="15" thickBot="1" x14ac:dyDescent="0.4">
      <c r="K8" s="20" t="s">
        <v>146</v>
      </c>
      <c r="L8" s="21">
        <f>SUM(L2:L7)</f>
        <v>34000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DB51-071E-4D4D-AB54-25E2D8507F43}">
  <sheetPr>
    <tabColor theme="3" tint="0.249977111117893"/>
  </sheetPr>
  <dimension ref="A2:B9"/>
  <sheetViews>
    <sheetView workbookViewId="0">
      <selection activeCell="A11" sqref="A11"/>
    </sheetView>
  </sheetViews>
  <sheetFormatPr defaultRowHeight="14.5" x14ac:dyDescent="0.35"/>
  <cols>
    <col min="1" max="1" width="25.81640625" customWidth="1"/>
    <col min="2" max="2" width="15.1796875" style="22" customWidth="1"/>
  </cols>
  <sheetData>
    <row r="2" spans="1:2" ht="42" customHeight="1" x14ac:dyDescent="0.6">
      <c r="A2" s="39" t="s">
        <v>188</v>
      </c>
    </row>
    <row r="4" spans="1:2" x14ac:dyDescent="0.35">
      <c r="A4" s="1" t="s">
        <v>143</v>
      </c>
      <c r="B4" s="23">
        <f>SUM('ON GOING OPPORTUNITIES'!L66)</f>
        <v>4205000</v>
      </c>
    </row>
    <row r="5" spans="1:2" x14ac:dyDescent="0.35">
      <c r="A5" s="1" t="s">
        <v>187</v>
      </c>
      <c r="B5" s="23">
        <f>SUM('SITE CONTROL CLIENTS'!L27)</f>
        <v>247000</v>
      </c>
    </row>
    <row r="6" spans="1:2" x14ac:dyDescent="0.35">
      <c r="A6" s="1" t="s">
        <v>144</v>
      </c>
      <c r="B6" s="23">
        <f>SUM('ONE-TIME OPPORTUNITIES'!K10)</f>
        <v>140000</v>
      </c>
    </row>
    <row r="7" spans="1:2" x14ac:dyDescent="0.35">
      <c r="A7" s="1" t="s">
        <v>147</v>
      </c>
      <c r="B7" s="24">
        <f>SUM(B4:B6)</f>
        <v>4592000</v>
      </c>
    </row>
    <row r="9" spans="1:2" x14ac:dyDescent="0.35">
      <c r="A9" s="1" t="s">
        <v>145</v>
      </c>
      <c r="B9" s="24">
        <f>SUM('SOLD OPPORTUNITIES'!L8)</f>
        <v>34000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ECBA-AA20-4201-9D1B-0E0AE60E1578}">
  <dimension ref="A5:E43"/>
  <sheetViews>
    <sheetView topLeftCell="A4" workbookViewId="0">
      <selection activeCell="H29" sqref="H29"/>
    </sheetView>
  </sheetViews>
  <sheetFormatPr defaultRowHeight="14.5" x14ac:dyDescent="0.35"/>
  <cols>
    <col min="1" max="1" width="17" customWidth="1"/>
    <col min="3" max="3" width="28.6328125" customWidth="1"/>
    <col min="5" max="5" width="27.54296875" customWidth="1"/>
  </cols>
  <sheetData>
    <row r="5" spans="1:5" x14ac:dyDescent="0.35">
      <c r="A5" t="s">
        <v>190</v>
      </c>
      <c r="C5" t="s">
        <v>191</v>
      </c>
      <c r="E5" t="s">
        <v>200</v>
      </c>
    </row>
    <row r="6" spans="1:5" x14ac:dyDescent="0.35">
      <c r="A6" s="48">
        <v>5000</v>
      </c>
      <c r="C6" t="s">
        <v>192</v>
      </c>
      <c r="E6" s="5" t="s">
        <v>207</v>
      </c>
    </row>
    <row r="7" spans="1:5" x14ac:dyDescent="0.35">
      <c r="A7" s="48">
        <v>10000</v>
      </c>
      <c r="C7" t="s">
        <v>193</v>
      </c>
      <c r="E7" s="49" t="s">
        <v>112</v>
      </c>
    </row>
    <row r="8" spans="1:5" x14ac:dyDescent="0.35">
      <c r="A8" s="48">
        <v>15000</v>
      </c>
      <c r="C8" t="s">
        <v>194</v>
      </c>
      <c r="E8" s="50" t="s">
        <v>201</v>
      </c>
    </row>
    <row r="9" spans="1:5" x14ac:dyDescent="0.35">
      <c r="A9" s="48">
        <v>20000</v>
      </c>
      <c r="C9" t="s">
        <v>195</v>
      </c>
      <c r="E9" s="52" t="s">
        <v>206</v>
      </c>
    </row>
    <row r="10" spans="1:5" x14ac:dyDescent="0.35">
      <c r="A10" s="48">
        <v>25000</v>
      </c>
      <c r="C10" t="s">
        <v>196</v>
      </c>
      <c r="E10" s="53" t="s">
        <v>113</v>
      </c>
    </row>
    <row r="11" spans="1:5" x14ac:dyDescent="0.35">
      <c r="A11" s="48">
        <v>30000</v>
      </c>
      <c r="C11" t="s">
        <v>197</v>
      </c>
      <c r="E11" s="51" t="s">
        <v>202</v>
      </c>
    </row>
    <row r="12" spans="1:5" x14ac:dyDescent="0.35">
      <c r="A12" s="48">
        <v>35000</v>
      </c>
      <c r="C12" t="s">
        <v>198</v>
      </c>
      <c r="E12" s="54" t="s">
        <v>257</v>
      </c>
    </row>
    <row r="13" spans="1:5" x14ac:dyDescent="0.35">
      <c r="A13" s="48">
        <v>40000</v>
      </c>
      <c r="C13" t="s">
        <v>199</v>
      </c>
      <c r="E13" s="56" t="s">
        <v>203</v>
      </c>
    </row>
    <row r="14" spans="1:5" x14ac:dyDescent="0.35">
      <c r="A14" s="48">
        <v>45000</v>
      </c>
      <c r="E14" s="55" t="s">
        <v>204</v>
      </c>
    </row>
    <row r="15" spans="1:5" x14ac:dyDescent="0.35">
      <c r="A15" s="48">
        <v>50000</v>
      </c>
      <c r="E15" s="8" t="s">
        <v>250</v>
      </c>
    </row>
    <row r="16" spans="1:5" x14ac:dyDescent="0.35">
      <c r="A16" s="48">
        <v>60000</v>
      </c>
      <c r="E16" s="8" t="s">
        <v>251</v>
      </c>
    </row>
    <row r="17" spans="1:5" x14ac:dyDescent="0.35">
      <c r="A17" s="48">
        <v>70000</v>
      </c>
      <c r="E17" s="8" t="s">
        <v>249</v>
      </c>
    </row>
    <row r="18" spans="1:5" x14ac:dyDescent="0.35">
      <c r="A18" s="48">
        <v>80000</v>
      </c>
      <c r="E18" s="8"/>
    </row>
    <row r="19" spans="1:5" x14ac:dyDescent="0.35">
      <c r="A19" s="48">
        <v>90000</v>
      </c>
      <c r="E19" s="8"/>
    </row>
    <row r="20" spans="1:5" x14ac:dyDescent="0.35">
      <c r="A20" s="48">
        <v>100000</v>
      </c>
      <c r="E20" s="8"/>
    </row>
    <row r="21" spans="1:5" x14ac:dyDescent="0.35">
      <c r="A21" s="48">
        <v>110000</v>
      </c>
      <c r="E21" s="8"/>
    </row>
    <row r="22" spans="1:5" x14ac:dyDescent="0.35">
      <c r="A22" s="48">
        <v>120000</v>
      </c>
      <c r="E22" s="8"/>
    </row>
    <row r="23" spans="1:5" x14ac:dyDescent="0.35">
      <c r="A23" s="48">
        <v>130000</v>
      </c>
      <c r="E23" s="8"/>
    </row>
    <row r="24" spans="1:5" x14ac:dyDescent="0.35">
      <c r="A24" s="48">
        <v>140000</v>
      </c>
      <c r="E24" s="8"/>
    </row>
    <row r="25" spans="1:5" x14ac:dyDescent="0.35">
      <c r="A25" s="48">
        <v>150000</v>
      </c>
      <c r="E25" s="8"/>
    </row>
    <row r="26" spans="1:5" x14ac:dyDescent="0.35">
      <c r="A26" s="48">
        <v>160000</v>
      </c>
      <c r="E26" s="8"/>
    </row>
    <row r="27" spans="1:5" x14ac:dyDescent="0.35">
      <c r="A27" s="48">
        <v>170000</v>
      </c>
      <c r="E27" s="8"/>
    </row>
    <row r="28" spans="1:5" x14ac:dyDescent="0.35">
      <c r="A28" s="48">
        <v>180000</v>
      </c>
      <c r="E28" s="8"/>
    </row>
    <row r="29" spans="1:5" x14ac:dyDescent="0.35">
      <c r="A29" s="48">
        <v>190000</v>
      </c>
      <c r="E29" s="8"/>
    </row>
    <row r="30" spans="1:5" x14ac:dyDescent="0.35">
      <c r="A30" s="48">
        <v>200000</v>
      </c>
    </row>
    <row r="31" spans="1:5" x14ac:dyDescent="0.35">
      <c r="A31" s="48">
        <v>225000</v>
      </c>
    </row>
    <row r="32" spans="1:5" x14ac:dyDescent="0.35">
      <c r="A32" s="48">
        <v>250000</v>
      </c>
    </row>
    <row r="33" spans="1:1" x14ac:dyDescent="0.35">
      <c r="A33" s="48">
        <v>275000</v>
      </c>
    </row>
    <row r="34" spans="1:1" x14ac:dyDescent="0.35">
      <c r="A34" s="48">
        <v>300000</v>
      </c>
    </row>
    <row r="35" spans="1:1" x14ac:dyDescent="0.35">
      <c r="A35" s="48">
        <v>350000</v>
      </c>
    </row>
    <row r="36" spans="1:1" x14ac:dyDescent="0.35">
      <c r="A36" s="48">
        <v>400000</v>
      </c>
    </row>
    <row r="37" spans="1:1" x14ac:dyDescent="0.35">
      <c r="A37" s="48">
        <v>450000</v>
      </c>
    </row>
    <row r="38" spans="1:1" x14ac:dyDescent="0.35">
      <c r="A38" s="48">
        <v>500000</v>
      </c>
    </row>
    <row r="39" spans="1:1" x14ac:dyDescent="0.35">
      <c r="A39" s="48">
        <v>600000</v>
      </c>
    </row>
    <row r="40" spans="1:1" x14ac:dyDescent="0.35">
      <c r="A40" s="48">
        <v>700000</v>
      </c>
    </row>
    <row r="41" spans="1:1" x14ac:dyDescent="0.35">
      <c r="A41" s="48">
        <v>800000</v>
      </c>
    </row>
    <row r="42" spans="1:1" x14ac:dyDescent="0.35">
      <c r="A42" s="48">
        <v>900000</v>
      </c>
    </row>
    <row r="43" spans="1:1" x14ac:dyDescent="0.35">
      <c r="A43" s="48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 GOING OPPORTUNITIES</vt:lpstr>
      <vt:lpstr>SITE CONTROL CLIENTS</vt:lpstr>
      <vt:lpstr>ONE-TIME OPPORTUNITIES</vt:lpstr>
      <vt:lpstr>SOLD OPPORTUNITIES</vt:lpstr>
      <vt:lpstr>FINANCIAL PIPELINE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Hoover</dc:creator>
  <cp:lastModifiedBy>Craig Hoover</cp:lastModifiedBy>
  <dcterms:created xsi:type="dcterms:W3CDTF">2025-03-05T01:51:35Z</dcterms:created>
  <dcterms:modified xsi:type="dcterms:W3CDTF">2025-07-18T23:12:34Z</dcterms:modified>
</cp:coreProperties>
</file>