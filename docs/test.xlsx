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lexfile01\home$\beatya\Desktop\Waste Streams\Bluescope\"/>
    </mc:Choice>
  </mc:AlternateContent>
  <xr:revisionPtr revIDLastSave="0" documentId="13_ncr:1_{604D81DC-8793-4AAB-9C9C-765402846AFC}" xr6:coauthVersionLast="47" xr6:coauthVersionMax="47" xr10:uidLastSave="{00000000-0000-0000-0000-000000000000}"/>
  <bookViews>
    <workbookView xWindow="-120" yWindow="-120" windowWidth="25440" windowHeight="15270" activeTab="1" xr2:uid="{21A17F03-91CA-4569-A917-AE4971D654F3}"/>
  </bookViews>
  <sheets>
    <sheet name="2024 - Wt in Lbs" sheetId="1" r:id="rId1"/>
    <sheet name="2025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4" i="2" l="1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K15" i="2" s="1"/>
  <c r="J14" i="2"/>
  <c r="I14" i="2"/>
  <c r="H14" i="2"/>
  <c r="G14" i="2"/>
  <c r="F14" i="2"/>
  <c r="E14" i="2"/>
  <c r="D14" i="2"/>
  <c r="C14" i="2"/>
  <c r="B14" i="2"/>
  <c r="K15" i="1"/>
  <c r="B16" i="1" s="1"/>
  <c r="K14" i="1"/>
  <c r="C14" i="1"/>
  <c r="P14" i="1"/>
  <c r="W14" i="1"/>
  <c r="V14" i="1"/>
  <c r="U14" i="1"/>
  <c r="S14" i="1"/>
  <c r="J14" i="1"/>
  <c r="T14" i="1"/>
  <c r="R14" i="1"/>
  <c r="Q14" i="1"/>
  <c r="O14" i="1"/>
  <c r="N14" i="1"/>
  <c r="L14" i="1"/>
  <c r="M14" i="1"/>
  <c r="Y14" i="1"/>
  <c r="X14" i="1"/>
  <c r="H14" i="1"/>
  <c r="I14" i="1"/>
  <c r="G14" i="1"/>
  <c r="F14" i="1"/>
  <c r="E14" i="1"/>
  <c r="D14" i="1"/>
  <c r="B14" i="1"/>
  <c r="X15" i="2" l="1"/>
  <c r="R15" i="2"/>
  <c r="P15" i="2"/>
  <c r="H15" i="2"/>
  <c r="E15" i="2"/>
  <c r="B15" i="2"/>
  <c r="P15" i="1"/>
  <c r="X15" i="1"/>
  <c r="B15" i="1"/>
  <c r="R15" i="1"/>
  <c r="H15" i="1"/>
  <c r="E15" i="1"/>
  <c r="B16" i="2" l="1"/>
</calcChain>
</file>

<file path=xl/sharedStrings.xml><?xml version="1.0" encoding="utf-8"?>
<sst xmlns="http://schemas.openxmlformats.org/spreadsheetml/2006/main" count="76" uniqueCount="39">
  <si>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</si>
  <si>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</si>
  <si>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</si>
  <si>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</si>
  <si>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</si>
  <si>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</si>
  <si>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</si>
  <si>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</si>
  <si>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</si>
  <si>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</si>
  <si>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</si>
  <si>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</si>
  <si>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</si>
  <si>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Copper</t>
  </si>
  <si>
    <t>Insulated Copper</t>
  </si>
  <si>
    <t>Brass</t>
  </si>
  <si>
    <t>BR - E.D.M. Wire</t>
  </si>
  <si>
    <t>SS - Cont N.M.S.S.</t>
  </si>
  <si>
    <t>Electric motors</t>
  </si>
  <si>
    <t>Cardboard Gaylords</t>
  </si>
  <si>
    <t>PL - HDPE</t>
  </si>
  <si>
    <t>Non-Recy Materials</t>
  </si>
  <si>
    <t>PA - Corrugated</t>
  </si>
  <si>
    <t>Office Mix</t>
  </si>
  <si>
    <t>Sheet Iron</t>
  </si>
  <si>
    <t>Non-Magnetic SS</t>
  </si>
  <si>
    <t>Yellow Brass</t>
  </si>
  <si>
    <t>Die Cast</t>
  </si>
  <si>
    <t>ST - Mix Steel</t>
  </si>
  <si>
    <t>Shredder Scrap</t>
  </si>
  <si>
    <t>Aluminum - mixed</t>
  </si>
  <si>
    <t>Aluminum Cast</t>
  </si>
  <si>
    <t>Short Steel</t>
  </si>
  <si>
    <t>Irony Aluminum</t>
  </si>
  <si>
    <t>Steel Dies</t>
  </si>
  <si>
    <t>2024 Total</t>
  </si>
  <si>
    <t>Lead</t>
  </si>
  <si>
    <t>Tin-Coated Copper</t>
  </si>
  <si>
    <t>2025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</si>
</sst>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A824-875D-44C8-93A8-7FAF0BB01C02}">
  <dimension ref="A1:Z16"/>
  <sheetViews>
    <sheetView workbookViewId="0">
      <pane ySplit="1" topLeftCell="A2" activePane="bottomLeft" state="frozen"/>
      <selection pane="bottomLeft" sqref="A1:XFD1048576"/>
    </sheetView>
  </sheetViews>
  <sheetFormatPr defaultColWidth="9.1796875" defaultRowHeight="14.5" x14ac:dyDescent="0.35"/>
  <cols>
    <col min="1" max="1" width="6.54296875" style="2" bestFit="1" customWidth="1"/>
    <col min="2" max="4" width="9.1796875" style="2"/>
    <col min="5" max="5" width="10.1796875" style="2" bestFit="1" customWidth="1"/>
    <col min="6" max="7" width="10.1796875" style="2" customWidth="1"/>
    <col min="8" max="12" width="9.1796875" style="2"/>
    <col min="13" max="13" width="10.26953125" style="2" customWidth="1"/>
    <col min="14" max="14" width="9.1796875" style="2"/>
    <col min="15" max="15" width="12" style="2" customWidth="1"/>
    <col min="16" max="25" width="9.1796875" style="2"/>
    <col min="26" max="26" width="8.7265625" customWidth="1"/>
    <col min="27" max="16384" width="9.1796875" style="2"/>
  </cols>
  <sheetData>
    <row r="1" spans="1:25" s="1" customFormat="1" ht="43.5" x14ac:dyDescent="0.35">
      <c r="A1" s="7" t="s">
        <v>0</v>
      </c>
      <c r="B1" s="15" t="s">
        <v>13</v>
      </c>
      <c r="C1" s="31" t="s">
        <v>37</v>
      </c>
      <c r="D1" s="16" t="s">
        <v>14</v>
      </c>
      <c r="E1" s="15" t="s">
        <v>30</v>
      </c>
      <c r="F1" s="23" t="s">
        <v>31</v>
      </c>
      <c r="G1" s="25" t="s">
        <v>33</v>
      </c>
      <c r="H1" s="15" t="s">
        <v>15</v>
      </c>
      <c r="I1" s="30" t="s">
        <v>16</v>
      </c>
      <c r="J1" s="26" t="s">
        <v>26</v>
      </c>
      <c r="K1" s="39" t="s">
        <v>36</v>
      </c>
      <c r="L1" s="11" t="s">
        <v>20</v>
      </c>
      <c r="M1" s="3" t="s">
        <v>19</v>
      </c>
      <c r="N1" s="3" t="s">
        <v>21</v>
      </c>
      <c r="O1" s="7" t="s">
        <v>22</v>
      </c>
      <c r="P1" s="15" t="s">
        <v>29</v>
      </c>
      <c r="Q1" s="16" t="s">
        <v>23</v>
      </c>
      <c r="R1" s="33" t="s">
        <v>24</v>
      </c>
      <c r="S1" s="34" t="s">
        <v>27</v>
      </c>
      <c r="T1" s="34" t="s">
        <v>25</v>
      </c>
      <c r="U1" s="34" t="s">
        <v>34</v>
      </c>
      <c r="V1" s="34" t="s">
        <v>32</v>
      </c>
      <c r="W1" s="35" t="s">
        <v>28</v>
      </c>
      <c r="X1" s="15" t="s">
        <v>17</v>
      </c>
      <c r="Y1" s="16" t="s">
        <v>18</v>
      </c>
    </row>
    <row r="2" spans="1:25" x14ac:dyDescent="0.35">
      <c r="A2" s="8" t="s">
        <v>1</v>
      </c>
      <c r="B2" s="17">
        <v>72</v>
      </c>
      <c r="C2" s="32"/>
      <c r="D2" s="18">
        <v>20</v>
      </c>
      <c r="E2" s="17">
        <v>18</v>
      </c>
      <c r="F2" s="5"/>
      <c r="G2" s="8"/>
      <c r="H2" s="17">
        <v>70</v>
      </c>
      <c r="I2" s="12">
        <v>394</v>
      </c>
      <c r="J2" s="27">
        <v>226</v>
      </c>
      <c r="K2" s="40"/>
      <c r="L2" s="12">
        <v>129</v>
      </c>
      <c r="M2" s="5">
        <v>5</v>
      </c>
      <c r="N2" s="5">
        <v>9620</v>
      </c>
      <c r="O2" s="8">
        <v>243</v>
      </c>
      <c r="P2" s="17"/>
      <c r="Q2" s="18">
        <v>440</v>
      </c>
      <c r="R2" s="36">
        <v>2682</v>
      </c>
      <c r="S2" s="37"/>
      <c r="T2" s="37">
        <v>20</v>
      </c>
      <c r="U2" s="37"/>
      <c r="V2" s="37"/>
      <c r="W2" s="38"/>
      <c r="X2" s="17">
        <v>54</v>
      </c>
      <c r="Y2" s="18">
        <v>56</v>
      </c>
    </row>
    <row r="3" spans="1:25" x14ac:dyDescent="0.35">
      <c r="A3" s="9" t="s">
        <v>2</v>
      </c>
      <c r="B3" s="19">
        <v>64</v>
      </c>
      <c r="C3" s="32"/>
      <c r="D3" s="20">
        <v>14</v>
      </c>
      <c r="E3" s="19">
        <v>2</v>
      </c>
      <c r="F3" s="4"/>
      <c r="G3" s="9"/>
      <c r="H3" s="19"/>
      <c r="I3" s="13"/>
      <c r="J3" s="28">
        <v>166</v>
      </c>
      <c r="K3" s="40"/>
      <c r="L3" s="13">
        <v>159</v>
      </c>
      <c r="M3" s="4"/>
      <c r="N3" s="4">
        <v>9730</v>
      </c>
      <c r="O3" s="9"/>
      <c r="P3" s="19">
        <v>88</v>
      </c>
      <c r="Q3" s="20"/>
      <c r="R3" s="36"/>
      <c r="S3" s="37">
        <v>700</v>
      </c>
      <c r="T3" s="37"/>
      <c r="U3" s="37"/>
      <c r="V3" s="37"/>
      <c r="W3" s="38">
        <v>1416</v>
      </c>
      <c r="X3" s="19"/>
      <c r="Y3" s="20"/>
    </row>
    <row r="4" spans="1:25" x14ac:dyDescent="0.35">
      <c r="A4" s="8" t="s">
        <v>3</v>
      </c>
      <c r="B4" s="17">
        <v>908</v>
      </c>
      <c r="C4" s="32"/>
      <c r="D4" s="18"/>
      <c r="E4" s="17">
        <v>6</v>
      </c>
      <c r="F4" s="5"/>
      <c r="G4" s="8"/>
      <c r="H4" s="17"/>
      <c r="I4" s="12"/>
      <c r="J4" s="27">
        <v>260</v>
      </c>
      <c r="K4" s="40"/>
      <c r="L4" s="12">
        <v>380</v>
      </c>
      <c r="M4" s="5"/>
      <c r="N4" s="5"/>
      <c r="O4" s="8"/>
      <c r="P4" s="17"/>
      <c r="Q4" s="18">
        <v>142</v>
      </c>
      <c r="R4" s="36">
        <v>116</v>
      </c>
      <c r="S4" s="37"/>
      <c r="T4" s="37"/>
      <c r="U4" s="37"/>
      <c r="V4" s="37"/>
      <c r="W4" s="38">
        <v>234</v>
      </c>
      <c r="X4" s="17"/>
      <c r="Y4" s="18"/>
    </row>
    <row r="5" spans="1:25" x14ac:dyDescent="0.35">
      <c r="A5" s="9" t="s">
        <v>4</v>
      </c>
      <c r="B5" s="19"/>
      <c r="C5" s="32"/>
      <c r="D5" s="20"/>
      <c r="E5" s="19">
        <v>12</v>
      </c>
      <c r="F5" s="4"/>
      <c r="G5" s="9"/>
      <c r="H5" s="19"/>
      <c r="I5" s="13"/>
      <c r="J5" s="28"/>
      <c r="K5" s="40"/>
      <c r="L5" s="13">
        <v>71</v>
      </c>
      <c r="M5" s="4"/>
      <c r="N5" s="4">
        <v>9064</v>
      </c>
      <c r="O5" s="9"/>
      <c r="P5" s="19"/>
      <c r="Q5" s="20">
        <v>88</v>
      </c>
      <c r="R5" s="36">
        <v>314</v>
      </c>
      <c r="S5" s="37"/>
      <c r="T5" s="37"/>
      <c r="U5" s="37"/>
      <c r="V5" s="37"/>
      <c r="W5" s="38">
        <v>18</v>
      </c>
      <c r="X5" s="19"/>
      <c r="Y5" s="20">
        <v>18</v>
      </c>
    </row>
    <row r="6" spans="1:25" x14ac:dyDescent="0.35">
      <c r="A6" s="8" t="s">
        <v>5</v>
      </c>
      <c r="B6" s="17">
        <v>88</v>
      </c>
      <c r="C6" s="32"/>
      <c r="D6" s="18">
        <v>204</v>
      </c>
      <c r="E6" s="17"/>
      <c r="F6" s="5"/>
      <c r="G6" s="8"/>
      <c r="H6" s="17"/>
      <c r="I6" s="12">
        <v>358</v>
      </c>
      <c r="J6" s="27">
        <v>234</v>
      </c>
      <c r="K6" s="40"/>
      <c r="L6" s="12">
        <v>116</v>
      </c>
      <c r="M6" s="5"/>
      <c r="N6" s="5">
        <v>8952</v>
      </c>
      <c r="O6" s="8"/>
      <c r="P6" s="17">
        <v>438</v>
      </c>
      <c r="Q6" s="18">
        <v>442</v>
      </c>
      <c r="R6" s="36">
        <v>28</v>
      </c>
      <c r="S6" s="37"/>
      <c r="T6" s="37"/>
      <c r="U6" s="37"/>
      <c r="V6" s="37"/>
      <c r="W6" s="38"/>
      <c r="X6" s="17"/>
      <c r="Y6" s="18">
        <v>42</v>
      </c>
    </row>
    <row r="7" spans="1:25" x14ac:dyDescent="0.35">
      <c r="A7" s="9" t="s">
        <v>6</v>
      </c>
      <c r="B7" s="19"/>
      <c r="C7" s="32"/>
      <c r="D7" s="20"/>
      <c r="E7" s="19"/>
      <c r="F7" s="4"/>
      <c r="G7" s="9"/>
      <c r="H7" s="19"/>
      <c r="I7" s="13"/>
      <c r="J7" s="28">
        <v>136</v>
      </c>
      <c r="K7" s="40"/>
      <c r="L7" s="13">
        <v>140</v>
      </c>
      <c r="M7" s="4"/>
      <c r="N7" s="4">
        <v>8370</v>
      </c>
      <c r="O7" s="9">
        <v>618</v>
      </c>
      <c r="P7" s="19"/>
      <c r="Q7" s="20">
        <v>320</v>
      </c>
      <c r="R7" s="36">
        <v>272</v>
      </c>
      <c r="S7" s="37"/>
      <c r="T7" s="37"/>
      <c r="U7" s="37"/>
      <c r="V7" s="37"/>
      <c r="W7" s="38"/>
      <c r="X7" s="19"/>
      <c r="Y7" s="20">
        <v>30</v>
      </c>
    </row>
    <row r="8" spans="1:25" x14ac:dyDescent="0.35">
      <c r="A8" s="8" t="s">
        <v>7</v>
      </c>
      <c r="B8" s="17"/>
      <c r="C8" s="32"/>
      <c r="D8" s="18">
        <v>42</v>
      </c>
      <c r="E8" s="17">
        <v>68</v>
      </c>
      <c r="F8" s="5">
        <v>236</v>
      </c>
      <c r="G8" s="8"/>
      <c r="H8" s="17"/>
      <c r="I8" s="12"/>
      <c r="J8" s="27">
        <v>188</v>
      </c>
      <c r="K8" s="40"/>
      <c r="L8" s="12">
        <v>130</v>
      </c>
      <c r="M8" s="5"/>
      <c r="N8" s="5">
        <v>6562</v>
      </c>
      <c r="O8" s="8"/>
      <c r="P8" s="17">
        <v>816</v>
      </c>
      <c r="Q8" s="18">
        <v>278</v>
      </c>
      <c r="R8" s="36">
        <v>304</v>
      </c>
      <c r="S8" s="37"/>
      <c r="T8" s="37"/>
      <c r="U8" s="37"/>
      <c r="V8" s="37">
        <v>1690</v>
      </c>
      <c r="W8" s="38"/>
      <c r="X8" s="17">
        <v>1146</v>
      </c>
      <c r="Y8" s="18">
        <v>286</v>
      </c>
    </row>
    <row r="9" spans="1:25" x14ac:dyDescent="0.35">
      <c r="A9" s="9" t="s">
        <v>8</v>
      </c>
      <c r="B9" s="19">
        <v>84</v>
      </c>
      <c r="C9" s="32"/>
      <c r="D9" s="20">
        <v>8</v>
      </c>
      <c r="E9" s="19"/>
      <c r="F9" s="4"/>
      <c r="G9" s="9"/>
      <c r="H9" s="19"/>
      <c r="I9" s="13">
        <v>490</v>
      </c>
      <c r="J9" s="28">
        <v>192</v>
      </c>
      <c r="K9" s="40"/>
      <c r="L9" s="13">
        <v>82</v>
      </c>
      <c r="M9" s="4"/>
      <c r="N9" s="4">
        <v>10348</v>
      </c>
      <c r="O9" s="9">
        <v>418</v>
      </c>
      <c r="P9" s="19">
        <v>380</v>
      </c>
      <c r="Q9" s="20">
        <v>80</v>
      </c>
      <c r="R9" s="36">
        <v>122</v>
      </c>
      <c r="S9" s="37"/>
      <c r="T9" s="37">
        <v>44</v>
      </c>
      <c r="U9" s="37"/>
      <c r="V9" s="37"/>
      <c r="W9" s="38"/>
      <c r="X9" s="19"/>
      <c r="Y9" s="20"/>
    </row>
    <row r="10" spans="1:25" x14ac:dyDescent="0.35">
      <c r="A10" s="8" t="s">
        <v>9</v>
      </c>
      <c r="B10" s="17"/>
      <c r="C10" s="32"/>
      <c r="D10" s="18"/>
      <c r="E10" s="17">
        <v>34</v>
      </c>
      <c r="F10" s="5"/>
      <c r="G10" s="8"/>
      <c r="H10" s="17"/>
      <c r="I10" s="12"/>
      <c r="J10" s="27"/>
      <c r="K10" s="40"/>
      <c r="L10" s="12">
        <v>80</v>
      </c>
      <c r="M10" s="5"/>
      <c r="N10" s="5">
        <v>3602</v>
      </c>
      <c r="O10" s="8"/>
      <c r="P10" s="17"/>
      <c r="Q10" s="18">
        <v>196</v>
      </c>
      <c r="R10" s="36">
        <v>548</v>
      </c>
      <c r="S10" s="37"/>
      <c r="T10" s="37">
        <v>32</v>
      </c>
      <c r="U10" s="37"/>
      <c r="V10" s="37"/>
      <c r="W10" s="38"/>
      <c r="X10" s="17"/>
      <c r="Y10" s="18"/>
    </row>
    <row r="11" spans="1:25" x14ac:dyDescent="0.35">
      <c r="A11" s="9" t="s">
        <v>10</v>
      </c>
      <c r="B11" s="19">
        <v>78</v>
      </c>
      <c r="C11" s="32"/>
      <c r="D11" s="20"/>
      <c r="E11" s="19">
        <v>74</v>
      </c>
      <c r="F11" s="4"/>
      <c r="G11" s="9">
        <v>775</v>
      </c>
      <c r="H11" s="19"/>
      <c r="I11" s="13"/>
      <c r="J11" s="28">
        <v>202</v>
      </c>
      <c r="K11" s="40"/>
      <c r="L11" s="13">
        <v>134</v>
      </c>
      <c r="M11" s="4"/>
      <c r="N11" s="4">
        <v>12858</v>
      </c>
      <c r="O11" s="9"/>
      <c r="P11" s="19">
        <v>1110</v>
      </c>
      <c r="Q11" s="20">
        <v>322</v>
      </c>
      <c r="R11" s="36">
        <v>234</v>
      </c>
      <c r="S11" s="37"/>
      <c r="T11" s="37"/>
      <c r="U11" s="37"/>
      <c r="V11" s="37">
        <v>502</v>
      </c>
      <c r="W11" s="38">
        <v>282</v>
      </c>
      <c r="X11" s="19"/>
      <c r="Y11" s="20"/>
    </row>
    <row r="12" spans="1:25" x14ac:dyDescent="0.35">
      <c r="A12" s="8" t="s">
        <v>11</v>
      </c>
      <c r="B12" s="17"/>
      <c r="C12" s="32"/>
      <c r="D12" s="18"/>
      <c r="E12" s="17">
        <v>29</v>
      </c>
      <c r="F12" s="5"/>
      <c r="G12" s="8">
        <v>161</v>
      </c>
      <c r="H12" s="17"/>
      <c r="I12" s="12">
        <v>383</v>
      </c>
      <c r="J12" s="27">
        <v>120</v>
      </c>
      <c r="K12" s="40"/>
      <c r="L12" s="12">
        <v>100</v>
      </c>
      <c r="M12" s="5"/>
      <c r="N12" s="5">
        <v>5318</v>
      </c>
      <c r="O12" s="8"/>
      <c r="P12" s="17"/>
      <c r="Q12" s="18">
        <v>269</v>
      </c>
      <c r="R12" s="36">
        <v>90</v>
      </c>
      <c r="S12" s="37"/>
      <c r="T12" s="37"/>
      <c r="U12" s="37">
        <v>1585</v>
      </c>
      <c r="V12" s="37"/>
      <c r="W12" s="38"/>
      <c r="X12" s="17"/>
      <c r="Y12" s="18"/>
    </row>
    <row r="13" spans="1:25" x14ac:dyDescent="0.35">
      <c r="A13" s="9" t="s">
        <v>12</v>
      </c>
      <c r="B13" s="19">
        <v>163</v>
      </c>
      <c r="C13" s="32">
        <v>53</v>
      </c>
      <c r="D13" s="20"/>
      <c r="E13" s="19">
        <v>75</v>
      </c>
      <c r="F13" s="4"/>
      <c r="G13" s="9"/>
      <c r="H13" s="19"/>
      <c r="I13" s="13"/>
      <c r="J13" s="28">
        <v>110</v>
      </c>
      <c r="K13" s="40">
        <v>188</v>
      </c>
      <c r="L13" s="13">
        <v>95</v>
      </c>
      <c r="M13" s="4"/>
      <c r="N13" s="4">
        <v>5825</v>
      </c>
      <c r="O13" s="9">
        <v>670</v>
      </c>
      <c r="P13" s="19"/>
      <c r="Q13" s="20">
        <v>227</v>
      </c>
      <c r="R13" s="36">
        <v>101</v>
      </c>
      <c r="S13" s="37"/>
      <c r="T13" s="37">
        <v>5</v>
      </c>
      <c r="U13" s="37"/>
      <c r="V13" s="37"/>
      <c r="W13" s="38"/>
      <c r="X13" s="19"/>
      <c r="Y13" s="20"/>
    </row>
    <row r="14" spans="1:25" ht="29" x14ac:dyDescent="0.35">
      <c r="A14" s="10" t="s">
        <v>35</v>
      </c>
      <c r="B14" s="21">
        <f>SUM(B2:B13)</f>
        <v>1457</v>
      </c>
      <c r="C14" s="21">
        <f>SUM(C2:C13)</f>
        <v>53</v>
      </c>
      <c r="D14" s="22">
        <f t="shared" ref="D14:W14" si="0">SUM(D2:D13)</f>
        <v>288</v>
      </c>
      <c r="E14" s="21">
        <f t="shared" si="0"/>
        <v>318</v>
      </c>
      <c r="F14" s="6">
        <f t="shared" si="0"/>
        <v>236</v>
      </c>
      <c r="G14" s="10">
        <f t="shared" si="0"/>
        <v>936</v>
      </c>
      <c r="H14" s="21">
        <f t="shared" si="0"/>
        <v>70</v>
      </c>
      <c r="I14" s="14">
        <f>SUM(I2:I13)</f>
        <v>1625</v>
      </c>
      <c r="J14" s="29">
        <f>SUM(J2:J13)</f>
        <v>1834</v>
      </c>
      <c r="K14" s="24">
        <f>SUM(K2:K13)</f>
        <v>188</v>
      </c>
      <c r="L14" s="14">
        <f>SUM(L2:L13)</f>
        <v>1616</v>
      </c>
      <c r="M14" s="6">
        <f t="shared" si="0"/>
        <v>5</v>
      </c>
      <c r="N14" s="6">
        <f t="shared" si="0"/>
        <v>90249</v>
      </c>
      <c r="O14" s="10">
        <f t="shared" si="0"/>
        <v>1949</v>
      </c>
      <c r="P14" s="21">
        <f>SUM(P2:P13)</f>
        <v>2832</v>
      </c>
      <c r="Q14" s="22">
        <f t="shared" si="0"/>
        <v>2804</v>
      </c>
      <c r="R14" s="21">
        <f t="shared" si="0"/>
        <v>4811</v>
      </c>
      <c r="S14" s="6">
        <f t="shared" si="0"/>
        <v>700</v>
      </c>
      <c r="T14" s="6">
        <f>SUM(T2:T13)</f>
        <v>101</v>
      </c>
      <c r="U14" s="6">
        <f t="shared" si="0"/>
        <v>1585</v>
      </c>
      <c r="V14" s="6">
        <f t="shared" si="0"/>
        <v>2192</v>
      </c>
      <c r="W14" s="22">
        <f t="shared" si="0"/>
        <v>1950</v>
      </c>
      <c r="X14" s="21">
        <f>SUM(X2:X13)</f>
        <v>1200</v>
      </c>
      <c r="Y14" s="22">
        <f>SUM(Y2:Y13)</f>
        <v>432</v>
      </c>
    </row>
    <row r="15" spans="1:25" ht="15" thickBot="1" x14ac:dyDescent="0.4">
      <c r="B15" s="42">
        <f>SUM(B14:D14)</f>
        <v>1798</v>
      </c>
      <c r="C15" s="43"/>
      <c r="D15" s="44"/>
      <c r="E15" s="42">
        <f>SUM(E14:G14)</f>
        <v>1490</v>
      </c>
      <c r="F15" s="43"/>
      <c r="G15" s="43"/>
      <c r="H15" s="42">
        <f>SUM(H14:J14)</f>
        <v>3529</v>
      </c>
      <c r="I15" s="43"/>
      <c r="J15" s="44"/>
      <c r="K15" s="41">
        <f>K14</f>
        <v>188</v>
      </c>
      <c r="P15" s="42">
        <f>SUM(P14:Q14)</f>
        <v>5636</v>
      </c>
      <c r="Q15" s="44"/>
      <c r="R15" s="42">
        <f>SUM(R14:W14)</f>
        <v>11339</v>
      </c>
      <c r="S15" s="43"/>
      <c r="T15" s="43"/>
      <c r="U15" s="43"/>
      <c r="V15" s="43"/>
      <c r="W15" s="44"/>
      <c r="X15" s="42">
        <f>SUM(X14:Y14)</f>
        <v>1632</v>
      </c>
      <c r="Y15" s="44"/>
    </row>
    <row r="16" spans="1:25" ht="15" thickBot="1" x14ac:dyDescent="0.4">
      <c r="B16" s="45">
        <f>SUM(B15:K15)</f>
        <v>7005</v>
      </c>
      <c r="C16" s="46"/>
      <c r="D16" s="46"/>
      <c r="E16" s="46"/>
      <c r="F16" s="46"/>
      <c r="G16" s="46"/>
      <c r="H16" s="46"/>
      <c r="I16" s="46"/>
      <c r="J16" s="46"/>
      <c r="K16" s="47"/>
    </row>
  </sheetData>
  <mergeCells count="7">
    <mergeCell ref="R15:W15"/>
    <mergeCell ref="X15:Y15"/>
    <mergeCell ref="B16:K16"/>
    <mergeCell ref="B15:D15"/>
    <mergeCell ref="E15:G15"/>
    <mergeCell ref="H15:J15"/>
    <mergeCell ref="P15:Q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97BE-85D6-43BB-837C-7AEA8EF74D0E}">
  <dimension ref="A1:Z16"/>
  <sheetViews>
    <sheetView tabSelected="1" workbookViewId="0">
      <selection activeCell="A15" sqref="A15"/>
    </sheetView>
  </sheetViews>
  <sheetFormatPr defaultColWidth="9.1796875" defaultRowHeight="14.5" x14ac:dyDescent="0.35"/>
  <cols>
    <col min="1" max="1" width="6.54296875" style="2" bestFit="1" customWidth="1"/>
    <col min="2" max="4" width="9.1796875" style="2"/>
    <col min="5" max="5" width="10.1796875" style="2" bestFit="1" customWidth="1"/>
    <col min="6" max="7" width="10.1796875" style="2" customWidth="1"/>
    <col min="8" max="12" width="9.1796875" style="2"/>
    <col min="13" max="13" width="10.26953125" style="2" customWidth="1"/>
    <col min="14" max="14" width="9.1796875" style="2"/>
    <col min="15" max="15" width="12" style="2" customWidth="1"/>
    <col min="16" max="25" width="9.1796875" style="2"/>
    <col min="26" max="26" width="8.7265625" customWidth="1"/>
    <col min="27" max="16384" width="9.1796875" style="2"/>
  </cols>
  <sheetData>
    <row r="1" spans="1:25" s="1" customFormat="1" ht="43.5" x14ac:dyDescent="0.35">
      <c r="A1" s="7" t="s">
        <v>0</v>
      </c>
      <c r="B1" s="15" t="s">
        <v>13</v>
      </c>
      <c r="C1" s="31" t="s">
        <v>37</v>
      </c>
      <c r="D1" s="16" t="s">
        <v>14</v>
      </c>
      <c r="E1" s="15" t="s">
        <v>30</v>
      </c>
      <c r="F1" s="23" t="s">
        <v>31</v>
      </c>
      <c r="G1" s="25" t="s">
        <v>33</v>
      </c>
      <c r="H1" s="15" t="s">
        <v>15</v>
      </c>
      <c r="I1" s="30" t="s">
        <v>16</v>
      </c>
      <c r="J1" s="26" t="s">
        <v>26</v>
      </c>
      <c r="K1" s="39" t="s">
        <v>36</v>
      </c>
      <c r="L1" s="11" t="s">
        <v>20</v>
      </c>
      <c r="M1" s="3" t="s">
        <v>19</v>
      </c>
      <c r="N1" s="3" t="s">
        <v>21</v>
      </c>
      <c r="O1" s="7" t="s">
        <v>22</v>
      </c>
      <c r="P1" s="15" t="s">
        <v>29</v>
      </c>
      <c r="Q1" s="16" t="s">
        <v>23</v>
      </c>
      <c r="R1" s="33" t="s">
        <v>24</v>
      </c>
      <c r="S1" s="34" t="s">
        <v>27</v>
      </c>
      <c r="T1" s="34" t="s">
        <v>25</v>
      </c>
      <c r="U1" s="34" t="s">
        <v>34</v>
      </c>
      <c r="V1" s="34" t="s">
        <v>32</v>
      </c>
      <c r="W1" s="35" t="s">
        <v>28</v>
      </c>
      <c r="X1" s="15" t="s">
        <v>17</v>
      </c>
      <c r="Y1" s="16" t="s">
        <v>18</v>
      </c>
    </row>
    <row r="2" spans="1:25" x14ac:dyDescent="0.35">
      <c r="A2" s="8" t="s">
        <v>1</v>
      </c>
      <c r="B2" s="17"/>
      <c r="C2" s="32"/>
      <c r="D2" s="18"/>
      <c r="E2" s="17">
        <v>40</v>
      </c>
      <c r="F2" s="5">
        <v>8</v>
      </c>
      <c r="G2" s="8">
        <v>6</v>
      </c>
      <c r="H2" s="17"/>
      <c r="I2" s="12"/>
      <c r="J2" s="27">
        <v>85</v>
      </c>
      <c r="K2" s="40"/>
      <c r="L2" s="12">
        <v>70</v>
      </c>
      <c r="M2" s="5"/>
      <c r="N2" s="5">
        <v>6907</v>
      </c>
      <c r="O2" s="8">
        <v>300</v>
      </c>
      <c r="P2" s="17">
        <v>47</v>
      </c>
      <c r="Q2" s="18">
        <v>367</v>
      </c>
      <c r="R2" s="36">
        <v>1</v>
      </c>
      <c r="S2" s="37"/>
      <c r="T2" s="37"/>
      <c r="U2" s="37"/>
      <c r="V2" s="37"/>
      <c r="W2" s="38"/>
      <c r="X2" s="17"/>
      <c r="Y2" s="18"/>
    </row>
    <row r="3" spans="1:25" x14ac:dyDescent="0.35">
      <c r="A3" s="9" t="s">
        <v>2</v>
      </c>
      <c r="B3" s="19">
        <v>78</v>
      </c>
      <c r="C3" s="32"/>
      <c r="D3" s="20"/>
      <c r="E3" s="19">
        <v>102</v>
      </c>
      <c r="F3" s="4">
        <v>37</v>
      </c>
      <c r="G3" s="9">
        <v>273</v>
      </c>
      <c r="H3" s="19"/>
      <c r="I3" s="13"/>
      <c r="J3" s="28">
        <v>169</v>
      </c>
      <c r="K3" s="40"/>
      <c r="L3" s="13">
        <v>105</v>
      </c>
      <c r="M3" s="4">
        <v>2</v>
      </c>
      <c r="N3" s="4">
        <v>7932</v>
      </c>
      <c r="O3" s="9"/>
      <c r="P3" s="19"/>
      <c r="Q3" s="20">
        <v>234</v>
      </c>
      <c r="R3" s="36">
        <v>500</v>
      </c>
      <c r="S3" s="37"/>
      <c r="T3" s="37"/>
      <c r="U3" s="37"/>
      <c r="V3" s="37"/>
      <c r="W3" s="38"/>
      <c r="X3" s="19"/>
      <c r="Y3" s="20">
        <v>25</v>
      </c>
    </row>
    <row r="4" spans="1:25" x14ac:dyDescent="0.35">
      <c r="A4" s="8" t="s">
        <v>3</v>
      </c>
      <c r="B4" s="17"/>
      <c r="C4" s="32"/>
      <c r="D4" s="18"/>
      <c r="E4" s="17">
        <v>89</v>
      </c>
      <c r="F4" s="5">
        <v>58</v>
      </c>
      <c r="G4" s="8"/>
      <c r="H4" s="17"/>
      <c r="I4" s="12"/>
      <c r="J4" s="27">
        <v>80</v>
      </c>
      <c r="K4" s="40"/>
      <c r="L4" s="12">
        <v>108</v>
      </c>
      <c r="M4" s="5"/>
      <c r="N4" s="5">
        <v>6661</v>
      </c>
      <c r="O4" s="8"/>
      <c r="P4" s="17"/>
      <c r="Q4" s="18">
        <v>145</v>
      </c>
      <c r="R4" s="36">
        <v>368</v>
      </c>
      <c r="S4" s="37"/>
      <c r="T4" s="37"/>
      <c r="U4" s="37"/>
      <c r="V4" s="37"/>
      <c r="W4" s="38"/>
      <c r="X4" s="17"/>
      <c r="Y4" s="18">
        <v>1</v>
      </c>
    </row>
    <row r="5" spans="1:25" x14ac:dyDescent="0.35">
      <c r="A5" s="9" t="s">
        <v>4</v>
      </c>
      <c r="B5" s="19">
        <v>103</v>
      </c>
      <c r="C5" s="32"/>
      <c r="D5" s="20"/>
      <c r="E5" s="19">
        <v>60</v>
      </c>
      <c r="F5" s="4">
        <v>23</v>
      </c>
      <c r="G5" s="9"/>
      <c r="H5" s="19"/>
      <c r="I5" s="13">
        <v>365</v>
      </c>
      <c r="J5" s="28">
        <v>81</v>
      </c>
      <c r="K5" s="40"/>
      <c r="L5" s="13">
        <v>111</v>
      </c>
      <c r="M5" s="4"/>
      <c r="N5" s="4">
        <v>6731</v>
      </c>
      <c r="O5" s="9"/>
      <c r="P5" s="19"/>
      <c r="Q5" s="20">
        <v>244</v>
      </c>
      <c r="R5" s="36">
        <v>50</v>
      </c>
      <c r="S5" s="37"/>
      <c r="T5" s="37"/>
      <c r="U5" s="37"/>
      <c r="V5" s="37"/>
      <c r="W5" s="38"/>
      <c r="X5" s="19"/>
      <c r="Y5" s="20"/>
    </row>
    <row r="6" spans="1:25" x14ac:dyDescent="0.35">
      <c r="A6" s="8" t="s">
        <v>5</v>
      </c>
      <c r="B6" s="17"/>
      <c r="C6" s="32"/>
      <c r="D6" s="18"/>
      <c r="E6" s="17"/>
      <c r="F6" s="5"/>
      <c r="G6" s="8"/>
      <c r="H6" s="17"/>
      <c r="I6" s="12"/>
      <c r="J6" s="27"/>
      <c r="K6" s="40"/>
      <c r="L6" s="12"/>
      <c r="M6" s="5"/>
      <c r="N6" s="5"/>
      <c r="O6" s="8"/>
      <c r="P6" s="17"/>
      <c r="Q6" s="18"/>
      <c r="R6" s="36"/>
      <c r="S6" s="37"/>
      <c r="T6" s="37"/>
      <c r="U6" s="37"/>
      <c r="V6" s="37"/>
      <c r="W6" s="38"/>
      <c r="X6" s="17"/>
      <c r="Y6" s="18"/>
    </row>
    <row r="7" spans="1:25" x14ac:dyDescent="0.35">
      <c r="A7" s="9" t="s">
        <v>6</v>
      </c>
      <c r="B7" s="19"/>
      <c r="C7" s="32"/>
      <c r="D7" s="20"/>
      <c r="E7" s="19"/>
      <c r="F7" s="4"/>
      <c r="G7" s="9"/>
      <c r="H7" s="19"/>
      <c r="I7" s="13"/>
      <c r="J7" s="28"/>
      <c r="K7" s="40"/>
      <c r="L7" s="13"/>
      <c r="M7" s="4"/>
      <c r="N7" s="4"/>
      <c r="O7" s="9"/>
      <c r="P7" s="19"/>
      <c r="Q7" s="20"/>
      <c r="R7" s="36"/>
      <c r="S7" s="37"/>
      <c r="T7" s="37"/>
      <c r="U7" s="37"/>
      <c r="V7" s="37"/>
      <c r="W7" s="38"/>
      <c r="X7" s="19"/>
      <c r="Y7" s="20"/>
    </row>
    <row r="8" spans="1:25" x14ac:dyDescent="0.35">
      <c r="A8" s="8" t="s">
        <v>7</v>
      </c>
      <c r="B8" s="17"/>
      <c r="C8" s="32"/>
      <c r="D8" s="18"/>
      <c r="E8" s="17"/>
      <c r="F8" s="5"/>
      <c r="G8" s="8"/>
      <c r="H8" s="17"/>
      <c r="I8" s="12"/>
      <c r="J8" s="27"/>
      <c r="K8" s="40"/>
      <c r="L8" s="12"/>
      <c r="M8" s="5"/>
      <c r="N8" s="5"/>
      <c r="O8" s="8"/>
      <c r="P8" s="17"/>
      <c r="Q8" s="18"/>
      <c r="R8" s="36"/>
      <c r="S8" s="37"/>
      <c r="T8" s="37"/>
      <c r="U8" s="37"/>
      <c r="V8" s="37"/>
      <c r="W8" s="38"/>
      <c r="X8" s="17"/>
      <c r="Y8" s="18"/>
    </row>
    <row r="9" spans="1:25" x14ac:dyDescent="0.35">
      <c r="A9" s="9" t="s">
        <v>8</v>
      </c>
      <c r="B9" s="19"/>
      <c r="C9" s="32"/>
      <c r="D9" s="20"/>
      <c r="E9" s="19"/>
      <c r="F9" s="4"/>
      <c r="G9" s="9"/>
      <c r="H9" s="19"/>
      <c r="I9" s="13"/>
      <c r="J9" s="28"/>
      <c r="K9" s="40"/>
      <c r="L9" s="13"/>
      <c r="M9" s="4"/>
      <c r="N9" s="4"/>
      <c r="O9" s="9"/>
      <c r="P9" s="19"/>
      <c r="Q9" s="20"/>
      <c r="R9" s="36"/>
      <c r="S9" s="37"/>
      <c r="T9" s="37"/>
      <c r="U9" s="37"/>
      <c r="V9" s="37"/>
      <c r="W9" s="38"/>
      <c r="X9" s="19"/>
      <c r="Y9" s="20"/>
    </row>
    <row r="10" spans="1:25" x14ac:dyDescent="0.35">
      <c r="A10" s="8" t="s">
        <v>9</v>
      </c>
      <c r="B10" s="17"/>
      <c r="C10" s="32"/>
      <c r="D10" s="18"/>
      <c r="E10" s="17"/>
      <c r="F10" s="5"/>
      <c r="G10" s="8"/>
      <c r="H10" s="17"/>
      <c r="I10" s="12"/>
      <c r="J10" s="27"/>
      <c r="K10" s="40"/>
      <c r="L10" s="12"/>
      <c r="M10" s="5"/>
      <c r="N10" s="5"/>
      <c r="O10" s="8"/>
      <c r="P10" s="17"/>
      <c r="Q10" s="18"/>
      <c r="R10" s="36"/>
      <c r="S10" s="37"/>
      <c r="T10" s="37"/>
      <c r="U10" s="37"/>
      <c r="V10" s="37"/>
      <c r="W10" s="38"/>
      <c r="X10" s="17"/>
      <c r="Y10" s="18"/>
    </row>
    <row r="11" spans="1:25" x14ac:dyDescent="0.35">
      <c r="A11" s="9" t="s">
        <v>10</v>
      </c>
      <c r="B11" s="19"/>
      <c r="C11" s="32"/>
      <c r="D11" s="20"/>
      <c r="E11" s="19"/>
      <c r="F11" s="4"/>
      <c r="G11" s="9"/>
      <c r="H11" s="19"/>
      <c r="I11" s="13"/>
      <c r="J11" s="28"/>
      <c r="K11" s="40"/>
      <c r="L11" s="13"/>
      <c r="M11" s="4"/>
      <c r="N11" s="4"/>
      <c r="O11" s="9"/>
      <c r="P11" s="19"/>
      <c r="Q11" s="20"/>
      <c r="R11" s="36"/>
      <c r="S11" s="37"/>
      <c r="T11" s="37"/>
      <c r="U11" s="37"/>
      <c r="V11" s="37"/>
      <c r="W11" s="38"/>
      <c r="X11" s="19"/>
      <c r="Y11" s="20"/>
    </row>
    <row r="12" spans="1:25" x14ac:dyDescent="0.35">
      <c r="A12" s="8" t="s">
        <v>11</v>
      </c>
      <c r="B12" s="17"/>
      <c r="C12" s="32"/>
      <c r="D12" s="18"/>
      <c r="E12" s="17"/>
      <c r="F12" s="5"/>
      <c r="G12" s="8"/>
      <c r="H12" s="17"/>
      <c r="I12" s="12"/>
      <c r="J12" s="27"/>
      <c r="K12" s="40"/>
      <c r="L12" s="12"/>
      <c r="M12" s="5"/>
      <c r="N12" s="5"/>
      <c r="O12" s="8"/>
      <c r="P12" s="17"/>
      <c r="Q12" s="18"/>
      <c r="R12" s="36"/>
      <c r="S12" s="37"/>
      <c r="T12" s="37"/>
      <c r="U12" s="37"/>
      <c r="V12" s="37"/>
      <c r="W12" s="38"/>
      <c r="X12" s="17"/>
      <c r="Y12" s="18"/>
    </row>
    <row r="13" spans="1:25" x14ac:dyDescent="0.35">
      <c r="A13" s="9" t="s">
        <v>12</v>
      </c>
      <c r="B13" s="19"/>
      <c r="C13" s="32"/>
      <c r="D13" s="20"/>
      <c r="E13" s="19"/>
      <c r="F13" s="4"/>
      <c r="G13" s="9"/>
      <c r="H13" s="19"/>
      <c r="I13" s="13"/>
      <c r="J13" s="28"/>
      <c r="K13" s="40"/>
      <c r="L13" s="13"/>
      <c r="M13" s="4"/>
      <c r="N13" s="4"/>
      <c r="O13" s="9"/>
      <c r="P13" s="19"/>
      <c r="Q13" s="20"/>
      <c r="R13" s="36"/>
      <c r="S13" s="37"/>
      <c r="T13" s="37"/>
      <c r="U13" s="37"/>
      <c r="V13" s="37"/>
      <c r="W13" s="38"/>
      <c r="X13" s="19"/>
      <c r="Y13" s="20"/>
    </row>
    <row r="14" spans="1:25" ht="29" x14ac:dyDescent="0.35">
      <c r="A14" s="10" t="s">
        <v>38</v>
      </c>
      <c r="B14" s="21">
        <f>SUM(B2:B13)</f>
        <v>181</v>
      </c>
      <c r="C14" s="21">
        <f>SUM(C2:C13)</f>
        <v>0</v>
      </c>
      <c r="D14" s="22">
        <f t="shared" ref="D14:W14" si="0">SUM(D2:D13)</f>
        <v>0</v>
      </c>
      <c r="E14" s="21">
        <f t="shared" si="0"/>
        <v>291</v>
      </c>
      <c r="F14" s="6">
        <f t="shared" si="0"/>
        <v>126</v>
      </c>
      <c r="G14" s="10">
        <f t="shared" si="0"/>
        <v>279</v>
      </c>
      <c r="H14" s="21">
        <f t="shared" si="0"/>
        <v>0</v>
      </c>
      <c r="I14" s="14">
        <f>SUM(I2:I13)</f>
        <v>365</v>
      </c>
      <c r="J14" s="29">
        <f>SUM(J2:J13)</f>
        <v>415</v>
      </c>
      <c r="K14" s="24">
        <f>SUM(K2:K13)</f>
        <v>0</v>
      </c>
      <c r="L14" s="14">
        <f>SUM(L2:L13)</f>
        <v>394</v>
      </c>
      <c r="M14" s="6">
        <f t="shared" si="0"/>
        <v>2</v>
      </c>
      <c r="N14" s="6">
        <f t="shared" si="0"/>
        <v>28231</v>
      </c>
      <c r="O14" s="10">
        <f t="shared" si="0"/>
        <v>300</v>
      </c>
      <c r="P14" s="21">
        <f>SUM(P2:P13)</f>
        <v>47</v>
      </c>
      <c r="Q14" s="22">
        <f t="shared" si="0"/>
        <v>990</v>
      </c>
      <c r="R14" s="21">
        <f t="shared" si="0"/>
        <v>919</v>
      </c>
      <c r="S14" s="6">
        <f t="shared" si="0"/>
        <v>0</v>
      </c>
      <c r="T14" s="6">
        <f>SUM(T2:T13)</f>
        <v>0</v>
      </c>
      <c r="U14" s="6">
        <f t="shared" si="0"/>
        <v>0</v>
      </c>
      <c r="V14" s="6">
        <f t="shared" si="0"/>
        <v>0</v>
      </c>
      <c r="W14" s="22">
        <f t="shared" si="0"/>
        <v>0</v>
      </c>
      <c r="X14" s="21">
        <f>SUM(X2:X13)</f>
        <v>0</v>
      </c>
      <c r="Y14" s="22">
        <f>SUM(Y2:Y13)</f>
        <v>26</v>
      </c>
    </row>
    <row r="15" spans="1:25" ht="15" thickBot="1" x14ac:dyDescent="0.4">
      <c r="B15" s="42">
        <f>SUM(B14:D14)</f>
        <v>181</v>
      </c>
      <c r="C15" s="43"/>
      <c r="D15" s="44"/>
      <c r="E15" s="42">
        <f>SUM(E14:G14)</f>
        <v>696</v>
      </c>
      <c r="F15" s="43"/>
      <c r="G15" s="43"/>
      <c r="H15" s="42">
        <f>SUM(H14:J14)</f>
        <v>780</v>
      </c>
      <c r="I15" s="43"/>
      <c r="J15" s="44"/>
      <c r="K15" s="41">
        <f>K14</f>
        <v>0</v>
      </c>
      <c r="P15" s="42">
        <f>SUM(P14:Q14)</f>
        <v>1037</v>
      </c>
      <c r="Q15" s="44"/>
      <c r="R15" s="42">
        <f>SUM(R14:W14)</f>
        <v>919</v>
      </c>
      <c r="S15" s="43"/>
      <c r="T15" s="43"/>
      <c r="U15" s="43"/>
      <c r="V15" s="43"/>
      <c r="W15" s="44"/>
      <c r="X15" s="42">
        <f>SUM(X14:Y14)</f>
        <v>26</v>
      </c>
      <c r="Y15" s="44"/>
    </row>
    <row r="16" spans="1:25" ht="15" thickBot="1" x14ac:dyDescent="0.4">
      <c r="B16" s="45">
        <f>SUM(B15:K15)</f>
        <v>1657</v>
      </c>
      <c r="C16" s="46"/>
      <c r="D16" s="46"/>
      <c r="E16" s="46"/>
      <c r="F16" s="46"/>
      <c r="G16" s="46"/>
      <c r="H16" s="46"/>
      <c r="I16" s="46"/>
      <c r="J16" s="46"/>
      <c r="K16" s="47"/>
    </row>
  </sheetData>
  <mergeCells count="7">
    <mergeCell ref="R15:W15"/>
    <mergeCell ref="X15:Y15"/>
    <mergeCell ref="B16:K16"/>
    <mergeCell ref="B15:D15"/>
    <mergeCell ref="E15:G15"/>
    <mergeCell ref="H15:J15"/>
    <mergeCell ref="P15:Q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2024 - Wt in Lbs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Beaty, Alex</dc:creator>
  <cp:lastModifiedBy>Beaty, Alex</cp:lastModifiedBy>
  <dcterms:created xsi:type="dcterms:W3CDTF">2025-03-11T14:17:02Z</dcterms:created>
  <dcterms:modified xsi:type="dcterms:W3CDTF">2025-06-03T13:37:45Z</dcterms:modified>
</cp:coreProperties>
</file>